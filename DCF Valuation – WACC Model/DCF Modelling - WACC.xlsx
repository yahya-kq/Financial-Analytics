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jects\All Repo\"/>
    </mc:Choice>
  </mc:AlternateContent>
  <xr:revisionPtr revIDLastSave="0" documentId="13_ncr:1_{80A7C04D-3385-4A6B-B5A1-0228AC7A70B3}" xr6:coauthVersionLast="47" xr6:coauthVersionMax="47" xr10:uidLastSave="{00000000-0000-0000-0000-000000000000}"/>
  <bookViews>
    <workbookView xWindow="0" yWindow="0" windowWidth="19200" windowHeight="10800" activeTab="1" xr2:uid="{5ECF019B-D745-4453-A5C5-3DCD8AB4A758}"/>
  </bookViews>
  <sheets>
    <sheet name="DCF&gt;" sheetId="5" r:id="rId1"/>
    <sheet name="WACC" sheetId="1" r:id="rId2"/>
    <sheet name="Beta - Regression" sheetId="7" r:id="rId3"/>
    <sheet name="Beta - Comps" sheetId="8" r:id="rId4"/>
    <sheet name="Rm" sheetId="9" r:id="rId5"/>
  </sheets>
  <definedNames>
    <definedName name="_xlnm._FilterDatabase" localSheetId="2" hidden="1">'Beta - Regression'!$B$6:$D$111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G5" i="9"/>
  <c r="G7" i="9" s="1"/>
  <c r="J23" i="1" s="1"/>
  <c r="E11" i="1"/>
  <c r="E12" i="1"/>
  <c r="E13" i="1"/>
  <c r="E14" i="1"/>
  <c r="E10" i="1"/>
  <c r="C32" i="1" s="1"/>
  <c r="D11" i="1"/>
  <c r="G11" i="1" s="1"/>
  <c r="J11" i="1" s="1"/>
  <c r="D12" i="1"/>
  <c r="D13" i="1"/>
  <c r="G13" i="1" s="1"/>
  <c r="J13" i="1" s="1"/>
  <c r="D14" i="1"/>
  <c r="D10" i="1"/>
  <c r="H10" i="1" s="1"/>
  <c r="M7" i="7"/>
  <c r="J6" i="7" s="1"/>
  <c r="J12" i="7" s="1"/>
  <c r="I10" i="1" l="1"/>
  <c r="H12" i="1"/>
  <c r="H14" i="1"/>
  <c r="G12" i="1"/>
  <c r="J12" i="1" s="1"/>
  <c r="H11" i="1"/>
  <c r="G10" i="1"/>
  <c r="J10" i="1" s="1"/>
  <c r="G14" i="1"/>
  <c r="J14" i="1" s="1"/>
  <c r="H13" i="1"/>
  <c r="C31" i="1"/>
  <c r="C33" i="1" s="1"/>
  <c r="D33" i="1" s="1"/>
  <c r="E33" i="1" s="1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I17" i="1"/>
  <c r="F17" i="1"/>
  <c r="E23" i="1" s="1"/>
  <c r="E24" i="1" s="1"/>
  <c r="J40" i="1" s="1"/>
  <c r="I16" i="1"/>
  <c r="F16" i="1"/>
  <c r="J32" i="1" l="1"/>
  <c r="M5" i="7"/>
  <c r="M4" i="7"/>
  <c r="H17" i="1"/>
  <c r="D31" i="1"/>
  <c r="D32" i="1"/>
  <c r="G17" i="1"/>
  <c r="H16" i="1"/>
  <c r="E31" i="1" s="1"/>
  <c r="J41" i="1" s="1"/>
  <c r="J16" i="1"/>
  <c r="J17" i="1"/>
  <c r="J30" i="1" s="1"/>
  <c r="G16" i="1"/>
  <c r="E32" i="1" l="1"/>
  <c r="D35" i="1"/>
  <c r="E35" i="1" l="1"/>
  <c r="J31" i="1" s="1"/>
  <c r="J33" i="1" s="1"/>
  <c r="J24" i="1" s="1"/>
  <c r="J25" i="1" s="1"/>
  <c r="J37" i="1" s="1"/>
  <c r="J38" i="1"/>
  <c r="J43" i="1" l="1"/>
</calcChain>
</file>

<file path=xl/sharedStrings.xml><?xml version="1.0" encoding="utf-8"?>
<sst xmlns="http://schemas.openxmlformats.org/spreadsheetml/2006/main" count="121" uniqueCount="101">
  <si>
    <t>Weighted Average Cost of Capital</t>
  </si>
  <si>
    <t>Peer Comps</t>
  </si>
  <si>
    <t>Name</t>
  </si>
  <si>
    <t>Country</t>
  </si>
  <si>
    <t>Total Debt</t>
  </si>
  <si>
    <t>Total Equity</t>
  </si>
  <si>
    <t>Average</t>
  </si>
  <si>
    <t>Debt/</t>
  </si>
  <si>
    <t>Equity</t>
  </si>
  <si>
    <t>Levered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</si>
  <si>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</si>
  <si>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</si>
  <si>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</si>
  <si>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</si>
  <si>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Capital</t>
  </si>
  <si>
    <t>Median</t>
  </si>
  <si>
    <t>Capital Structure</t>
  </si>
  <si>
    <t>Market Capitalization</t>
  </si>
  <si>
    <t>Total Capitalization</t>
  </si>
  <si>
    <t>Current</t>
  </si>
  <si>
    <t>Target</t>
  </si>
  <si>
    <t>Cost of Equity</t>
  </si>
  <si>
    <t>Risk Free Rate</t>
  </si>
  <si>
    <t>Equity Risk Premium</t>
  </si>
  <si>
    <t>Levered Beta</t>
  </si>
  <si>
    <t>Debt /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</si>
  <si>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</si>
  <si>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Debt</t>
  </si>
  <si>
    <t>Pre-tax Cost of Debt</t>
  </si>
  <si>
    <t>Tax Rate</t>
  </si>
  <si>
    <t>After Tax Cost of Debt</t>
  </si>
  <si>
    <t xml:space="preserve">Levered Beta </t>
  </si>
  <si>
    <t>Comps Median Unlevered Beta</t>
  </si>
  <si>
    <t xml:space="preserve">Target Debt/ Equity  </t>
  </si>
  <si>
    <t>1. Tax Rate considered as Marginal Tax Rate for the country</t>
  </si>
  <si>
    <t>2. Levered Beta is based on 5 year monthly data</t>
  </si>
  <si>
    <t xml:space="preserve"> </t>
  </si>
  <si>
    <t>3. Unlevered Beta = Levered Beta/(1+(1-Tax Rate) x Debt/Equity)</t>
  </si>
  <si>
    <t>3. Levered Beta = Unlevered Beta/(1+(1-Tax Rate) x Debt/Equity)</t>
  </si>
  <si>
    <t>Date</t>
  </si>
  <si>
    <t>S.No.</t>
  </si>
  <si>
    <t>CMP Rs.</t>
  </si>
  <si>
    <t>Debt Rs.Cr.</t>
  </si>
  <si>
    <t xml:space="preserve">Mar Cap Rs.Cr. </t>
  </si>
  <si>
    <t>Debt / Eq</t>
  </si>
  <si>
    <t>Closing Price</t>
  </si>
  <si>
    <t>Avenue Supermart Weekly Returns</t>
  </si>
  <si>
    <t>Return</t>
  </si>
  <si>
    <t>NIFTY Returns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</si>
  <si>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</si>
  <si>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</si>
  <si>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</si>
  <si>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</si>
  <si>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</si>
  <si>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</si>
  <si>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</si>
  <si>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</si>
  <si>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</si>
  <si>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</si>
  <si>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</si>
  <si>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</si>
  <si>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</si>
  <si>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</si>
  <si>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</si>
  <si>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</si>
  <si>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</si>
  <si>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</si>
  <si>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</si>
  <si>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</si>
  <si>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</si>
  <si>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</si>
  <si>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</si>
  <si>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</si>
  <si>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</si>
  <si>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</si>
  <si>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</si>
  <si>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</si>
  <si>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</si>
  <si>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</si>
  <si>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</si>
  <si>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 Weight</t>
  </si>
  <si>
    <t xml:space="preserve">Market Beta </t>
  </si>
  <si>
    <t>Adjusted Beta</t>
  </si>
  <si>
    <t>Regression Beta - 2 Years Weekly</t>
  </si>
  <si>
    <t>Year</t>
  </si>
  <si>
    <t>Annual</t>
  </si>
  <si>
    <t>Return on Markets</t>
  </si>
  <si>
    <t>Average Return</t>
  </si>
  <si>
    <t>Dividend Yield</t>
  </si>
  <si>
    <r>
      <t xml:space="preserve">1.39% </t>
    </r>
    <r>
      <rPr>
        <vertAlign val="superscript"/>
        <sz val="11"/>
        <color theme="1"/>
        <rFont val="Calibri"/>
        <family val="2"/>
      </rPr>
      <t>1</t>
    </r>
  </si>
  <si>
    <t>Total Market Returns</t>
  </si>
  <si>
    <t>Equity Weight</t>
  </si>
  <si>
    <t>Debt Weight</t>
  </si>
  <si>
    <t>WACC</t>
  </si>
  <si>
    <t>Gul Ahmed</t>
  </si>
  <si>
    <t>Khaadi</t>
  </si>
  <si>
    <t>Sapphire Retail Limited</t>
  </si>
  <si>
    <t>Sana Safinaz</t>
  </si>
  <si>
    <t>Bareezé</t>
  </si>
  <si>
    <t>Pakistan</t>
  </si>
  <si>
    <t>All figures are in PKR unless stated otherwise.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</si>
</sst>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3333FF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vertical="top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2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top"/>
    </xf>
    <xf numFmtId="2" fontId="6" fillId="0" borderId="0" xfId="0" applyNumberFormat="1" applyFont="1"/>
    <xf numFmtId="10" fontId="0" fillId="0" borderId="0" xfId="1" applyNumberFormat="1" applyFont="1"/>
    <xf numFmtId="10" fontId="6" fillId="0" borderId="0" xfId="0" applyNumberFormat="1" applyFont="1" applyAlignment="1">
      <alignment vertical="top"/>
    </xf>
    <xf numFmtId="10" fontId="0" fillId="0" borderId="0" xfId="0" applyNumberFormat="1"/>
    <xf numFmtId="0" fontId="1" fillId="0" borderId="3" xfId="0" applyFont="1" applyBorder="1"/>
    <xf numFmtId="10" fontId="0" fillId="0" borderId="3" xfId="1" applyNumberFormat="1" applyFont="1" applyBorder="1"/>
    <xf numFmtId="2" fontId="0" fillId="0" borderId="3" xfId="0" applyNumberFormat="1" applyBorder="1"/>
    <xf numFmtId="0" fontId="1" fillId="0" borderId="4" xfId="0" applyFont="1" applyBorder="1"/>
    <xf numFmtId="10" fontId="0" fillId="0" borderId="4" xfId="1" applyNumberFormat="1" applyFont="1" applyBorder="1"/>
    <xf numFmtId="2" fontId="0" fillId="0" borderId="4" xfId="0" applyNumberFormat="1" applyBorder="1"/>
    <xf numFmtId="10" fontId="0" fillId="4" borderId="0" xfId="1" applyNumberFormat="1" applyFont="1" applyFill="1" applyAlignment="1"/>
    <xf numFmtId="2" fontId="0" fillId="4" borderId="0" xfId="0" applyNumberFormat="1" applyFill="1"/>
    <xf numFmtId="0" fontId="0" fillId="0" borderId="4" xfId="0" applyBorder="1"/>
    <xf numFmtId="0" fontId="1" fillId="0" borderId="4" xfId="0" applyFont="1" applyBorder="1" applyAlignment="1">
      <alignment horizontal="right"/>
    </xf>
    <xf numFmtId="0" fontId="0" fillId="0" borderId="5" xfId="0" applyBorder="1"/>
    <xf numFmtId="10" fontId="0" fillId="0" borderId="5" xfId="1" applyNumberFormat="1" applyFont="1" applyBorder="1"/>
    <xf numFmtId="10" fontId="0" fillId="0" borderId="5" xfId="0" applyNumberFormat="1" applyBorder="1"/>
    <xf numFmtId="10" fontId="0" fillId="4" borderId="0" xfId="0" applyNumberFormat="1" applyFill="1"/>
    <xf numFmtId="10" fontId="0" fillId="4" borderId="5" xfId="1" applyNumberFormat="1" applyFont="1" applyFill="1" applyBorder="1"/>
    <xf numFmtId="10" fontId="6" fillId="0" borderId="0" xfId="0" applyNumberFormat="1" applyFont="1"/>
    <xf numFmtId="10" fontId="0" fillId="0" borderId="0" xfId="1" applyNumberFormat="1" applyFont="1" applyBorder="1"/>
    <xf numFmtId="2" fontId="0" fillId="0" borderId="5" xfId="0" applyNumberFormat="1" applyBorder="1"/>
    <xf numFmtId="0" fontId="7" fillId="0" borderId="0" xfId="0" applyFont="1"/>
    <xf numFmtId="0" fontId="8" fillId="0" borderId="0" xfId="0" applyFont="1"/>
    <xf numFmtId="164" fontId="0" fillId="0" borderId="0" xfId="0" applyNumberFormat="1"/>
    <xf numFmtId="164" fontId="6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0" fillId="0" borderId="7" xfId="0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Continuous"/>
    </xf>
    <xf numFmtId="0" fontId="0" fillId="6" borderId="0" xfId="0" applyFill="1"/>
    <xf numFmtId="2" fontId="0" fillId="6" borderId="0" xfId="0" applyNumberFormat="1" applyFill="1"/>
    <xf numFmtId="10" fontId="6" fillId="0" borderId="0" xfId="1" applyNumberFormat="1" applyFont="1"/>
    <xf numFmtId="10" fontId="0" fillId="0" borderId="0" xfId="1" applyNumberFormat="1" applyFont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10" fontId="0" fillId="0" borderId="0" xfId="0" applyNumberFormat="1" applyAlignment="1">
      <alignment horizontal="right"/>
    </xf>
    <xf numFmtId="0" fontId="1" fillId="4" borderId="0" xfId="0" applyFont="1" applyFill="1"/>
    <xf numFmtId="10" fontId="1" fillId="4" borderId="0" xfId="0" applyNumberFormat="1" applyFont="1" applyFill="1"/>
    <xf numFmtId="10" fontId="6" fillId="0" borderId="0" xfId="0" applyNumberFormat="1" applyFont="1" applyAlignment="1">
      <alignment horizontal="right"/>
    </xf>
    <xf numFmtId="2" fontId="0" fillId="4" borderId="0" xfId="0" applyNumberFormat="1" applyFill="1" applyAlignment="1">
      <alignment horizontal="right"/>
    </xf>
    <xf numFmtId="10" fontId="0" fillId="4" borderId="5" xfId="0" applyNumberFormat="1" applyFill="1" applyBorder="1"/>
    <xf numFmtId="10" fontId="0" fillId="0" borderId="0" xfId="1" applyNumberFormat="1" applyFont="1" applyFill="1" applyBorder="1"/>
    <xf numFmtId="0" fontId="1" fillId="6" borderId="0" xfId="0" applyFont="1" applyFill="1"/>
    <xf numFmtId="10" fontId="1" fillId="6" borderId="0" xfId="0" applyNumberFormat="1" applyFont="1" applyFill="1"/>
    <xf numFmtId="0" fontId="9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604B-C49D-4058-B0BC-4DBDC0225086}">
  <sheetPr>
    <tabColor rgb="FF00206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B7B-C668-4751-B269-60A6246385E1}">
  <sheetPr>
    <pageSetUpPr fitToPage="1"/>
  </sheetPr>
  <dimension ref="A2:J43"/>
  <sheetViews>
    <sheetView showGridLines="0" tabSelected="1" zoomScaleNormal="100" workbookViewId="0">
      <selection activeCell="B2" sqref="B2"/>
    </sheetView>
  </sheetViews>
  <sheetFormatPr defaultRowHeight="14.5" x14ac:dyDescent="0.35"/>
  <cols>
    <col min="1" max="1" width="1.81640625" customWidth="1"/>
    <col min="2" max="2" width="19.81640625" customWidth="1"/>
    <col min="3" max="3" width="10.26953125" bestFit="1" customWidth="1"/>
    <col min="4" max="4" width="10.1796875" bestFit="1" customWidth="1"/>
    <col min="5" max="5" width="11.453125" bestFit="1" customWidth="1"/>
    <col min="6" max="6" width="10.81640625" customWidth="1"/>
    <col min="7" max="9" width="9.26953125" customWidth="1"/>
    <col min="10" max="10" width="10.26953125" bestFit="1" customWidth="1"/>
    <col min="14" max="14" width="16.54296875" bestFit="1" customWidth="1"/>
    <col min="15" max="15" width="9.81640625" bestFit="1" customWidth="1"/>
    <col min="16" max="16" width="6.54296875" bestFit="1" customWidth="1"/>
  </cols>
  <sheetData>
    <row r="2" spans="2:10" ht="18.5" x14ac:dyDescent="0.45">
      <c r="B2" s="4" t="s">
        <v>0</v>
      </c>
      <c r="C2" s="5"/>
      <c r="D2" s="5"/>
      <c r="E2" s="5"/>
      <c r="F2" s="6"/>
      <c r="G2" s="6"/>
      <c r="H2" s="6"/>
      <c r="I2" s="6"/>
      <c r="J2" s="6"/>
    </row>
    <row r="4" spans="2:10" x14ac:dyDescent="0.35">
      <c r="B4" s="34" t="s">
        <v>100</v>
      </c>
    </row>
    <row r="6" spans="2:10" x14ac:dyDescent="0.35">
      <c r="B6" s="1" t="s">
        <v>1</v>
      </c>
    </row>
    <row r="7" spans="2:10" ht="13.5" customHeight="1" x14ac:dyDescent="0.35">
      <c r="B7" s="2"/>
      <c r="C7" s="2"/>
      <c r="D7" s="2"/>
      <c r="E7" s="2"/>
      <c r="F7" s="10"/>
      <c r="G7" s="10" t="s">
        <v>7</v>
      </c>
      <c r="H7" s="10" t="s">
        <v>7</v>
      </c>
      <c r="I7" s="10" t="s">
        <v>9</v>
      </c>
      <c r="J7" s="10" t="s">
        <v>12</v>
      </c>
    </row>
    <row r="8" spans="2:10" ht="18.75" customHeight="1" x14ac:dyDescent="0.35">
      <c r="B8" s="3" t="s">
        <v>2</v>
      </c>
      <c r="C8" s="3" t="s">
        <v>3</v>
      </c>
      <c r="D8" s="11" t="s">
        <v>4</v>
      </c>
      <c r="E8" s="11" t="s">
        <v>5</v>
      </c>
      <c r="F8" s="11" t="s">
        <v>10</v>
      </c>
      <c r="G8" s="11" t="s">
        <v>8</v>
      </c>
      <c r="H8" s="11" t="s">
        <v>14</v>
      </c>
      <c r="I8" s="11" t="s">
        <v>11</v>
      </c>
      <c r="J8" s="11" t="s">
        <v>13</v>
      </c>
    </row>
    <row r="9" spans="2:10" x14ac:dyDescent="0.35">
      <c r="B9" s="7"/>
      <c r="C9" s="7"/>
      <c r="D9" s="7"/>
      <c r="E9" s="7"/>
      <c r="F9" s="7"/>
      <c r="G9" s="7"/>
      <c r="H9" s="7"/>
      <c r="I9" s="7"/>
      <c r="J9" s="7"/>
    </row>
    <row r="10" spans="2:10" x14ac:dyDescent="0.35">
      <c r="B10" s="9" t="s">
        <v>94</v>
      </c>
      <c r="C10" s="9" t="s">
        <v>99</v>
      </c>
      <c r="D10" s="37">
        <f>'Beta - Comps'!F3</f>
        <v>710.83</v>
      </c>
      <c r="E10" s="37">
        <f>'Beta - Comps'!E3</f>
        <v>228379.45</v>
      </c>
      <c r="F10" s="14">
        <v>0.3</v>
      </c>
      <c r="G10" s="22">
        <f>D10/E10</f>
        <v>3.1124954543852346E-3</v>
      </c>
      <c r="H10" s="22">
        <f>D10/(D10+E10)</f>
        <v>3.1028378855707021E-3</v>
      </c>
      <c r="I10" s="12">
        <f>'Beta - Regression'!M7</f>
        <v>1.2421196304007405</v>
      </c>
      <c r="J10" s="23">
        <f>I10/(1+(1-F10)*G10)</f>
        <v>1.2394192496543019</v>
      </c>
    </row>
    <row r="11" spans="2:10" x14ac:dyDescent="0.35">
      <c r="B11" s="9" t="s">
        <v>95</v>
      </c>
      <c r="C11" s="9" t="s">
        <v>99</v>
      </c>
      <c r="D11" s="37">
        <f>'Beta - Comps'!F4</f>
        <v>4525.96</v>
      </c>
      <c r="E11" s="37">
        <f>'Beta - Comps'!E4</f>
        <v>47567.78</v>
      </c>
      <c r="F11" s="14">
        <v>0.3</v>
      </c>
      <c r="G11" s="22">
        <f t="shared" ref="G11:G14" si="0">D11/E11</f>
        <v>9.5147597806750708E-2</v>
      </c>
      <c r="H11" s="22">
        <f t="shared" ref="H11:H14" si="1">D11/(D11+E11)</f>
        <v>8.6881072466672579E-2</v>
      </c>
      <c r="I11" s="12">
        <v>1.4</v>
      </c>
      <c r="J11" s="23">
        <f t="shared" ref="J11:J14" si="2">I11/(1+(1-F11)*G11)</f>
        <v>1.3125779526123802</v>
      </c>
    </row>
    <row r="12" spans="2:10" x14ac:dyDescent="0.35">
      <c r="B12" s="9" t="s">
        <v>96</v>
      </c>
      <c r="C12" s="9" t="s">
        <v>99</v>
      </c>
      <c r="D12" s="37">
        <f>'Beta - Comps'!F5</f>
        <v>248.92</v>
      </c>
      <c r="E12" s="37">
        <f>'Beta - Comps'!E5</f>
        <v>28378.34</v>
      </c>
      <c r="F12" s="14">
        <v>0.3</v>
      </c>
      <c r="G12" s="22">
        <f t="shared" si="0"/>
        <v>8.7714785290471525E-3</v>
      </c>
      <c r="H12" s="22">
        <f t="shared" si="1"/>
        <v>8.6952086926936067E-3</v>
      </c>
      <c r="I12" s="12">
        <v>1.373</v>
      </c>
      <c r="J12" s="23">
        <f t="shared" si="2"/>
        <v>1.3646211782443227</v>
      </c>
    </row>
    <row r="13" spans="2:10" x14ac:dyDescent="0.35">
      <c r="B13" s="9" t="s">
        <v>97</v>
      </c>
      <c r="C13" s="9" t="s">
        <v>99</v>
      </c>
      <c r="D13" s="37">
        <f>'Beta - Comps'!F6</f>
        <v>4617.57</v>
      </c>
      <c r="E13" s="37">
        <f>'Beta - Comps'!E6</f>
        <v>23395.42</v>
      </c>
      <c r="F13" s="14">
        <v>0.3</v>
      </c>
      <c r="G13" s="22">
        <f t="shared" si="0"/>
        <v>0.1973706819539893</v>
      </c>
      <c r="H13" s="22">
        <f t="shared" si="1"/>
        <v>0.16483674181156671</v>
      </c>
      <c r="I13" s="12">
        <v>1.23</v>
      </c>
      <c r="J13" s="23">
        <f t="shared" si="2"/>
        <v>1.080692138894811</v>
      </c>
    </row>
    <row r="14" spans="2:10" x14ac:dyDescent="0.35">
      <c r="B14" s="9" t="s">
        <v>98</v>
      </c>
      <c r="C14" s="9" t="s">
        <v>99</v>
      </c>
      <c r="D14" s="37">
        <f>'Beta - Comps'!F7</f>
        <v>805.48</v>
      </c>
      <c r="E14" s="37">
        <f>'Beta - Comps'!E7</f>
        <v>23076.59</v>
      </c>
      <c r="F14" s="14">
        <v>0.3</v>
      </c>
      <c r="G14" s="22">
        <f t="shared" si="0"/>
        <v>3.4904637123595816E-2</v>
      </c>
      <c r="H14" s="22">
        <f t="shared" si="1"/>
        <v>3.3727394652138615E-2</v>
      </c>
      <c r="I14" s="12">
        <v>1.41</v>
      </c>
      <c r="J14" s="23">
        <f t="shared" si="2"/>
        <v>1.3763707938257965</v>
      </c>
    </row>
    <row r="15" spans="2:10" x14ac:dyDescent="0.35">
      <c r="F15" s="15"/>
    </row>
    <row r="16" spans="2:10" x14ac:dyDescent="0.35">
      <c r="E16" s="16" t="s">
        <v>6</v>
      </c>
      <c r="F16" s="17">
        <f>AVERAGE(F10:F14)</f>
        <v>0.3</v>
      </c>
      <c r="G16" s="17">
        <f t="shared" ref="G16:J16" si="3">AVERAGE(G10:G14)</f>
        <v>6.7861378173553644E-2</v>
      </c>
      <c r="H16" s="17">
        <f t="shared" si="3"/>
        <v>5.9448651101728436E-2</v>
      </c>
      <c r="I16" s="18">
        <f t="shared" si="3"/>
        <v>1.3310239260801482</v>
      </c>
      <c r="J16" s="18">
        <f t="shared" si="3"/>
        <v>1.2747362626463226</v>
      </c>
    </row>
    <row r="17" spans="2:10" x14ac:dyDescent="0.35">
      <c r="E17" s="19" t="s">
        <v>15</v>
      </c>
      <c r="F17" s="20">
        <f>MEDIAN(F10:F14)</f>
        <v>0.3</v>
      </c>
      <c r="G17" s="20">
        <f t="shared" ref="G17:J17" si="4">MEDIAN(G10:G14)</f>
        <v>3.4904637123595816E-2</v>
      </c>
      <c r="H17" s="20">
        <f t="shared" si="4"/>
        <v>3.3727394652138615E-2</v>
      </c>
      <c r="I17" s="21">
        <f t="shared" si="4"/>
        <v>1.373</v>
      </c>
      <c r="J17" s="21">
        <f t="shared" si="4"/>
        <v>1.3125779526123802</v>
      </c>
    </row>
    <row r="18" spans="2:10" x14ac:dyDescent="0.35">
      <c r="G18" s="8"/>
    </row>
    <row r="19" spans="2:10" x14ac:dyDescent="0.35">
      <c r="G19" s="8"/>
    </row>
    <row r="20" spans="2:10" x14ac:dyDescent="0.35">
      <c r="B20" s="19" t="s">
        <v>27</v>
      </c>
      <c r="C20" s="24"/>
      <c r="D20" s="24"/>
      <c r="E20" s="24"/>
      <c r="G20" s="19" t="s">
        <v>21</v>
      </c>
      <c r="H20" s="24"/>
      <c r="I20" s="24"/>
      <c r="J20" s="24"/>
    </row>
    <row r="21" spans="2:10" x14ac:dyDescent="0.35">
      <c r="B21" s="8"/>
      <c r="G21" s="8"/>
    </row>
    <row r="22" spans="2:10" x14ac:dyDescent="0.35">
      <c r="B22" t="s">
        <v>28</v>
      </c>
      <c r="E22" s="50">
        <f>69/710</f>
        <v>9.7183098591549291E-2</v>
      </c>
      <c r="G22" t="s">
        <v>22</v>
      </c>
      <c r="J22" s="57">
        <v>7.3910000000000003E-2</v>
      </c>
    </row>
    <row r="23" spans="2:10" x14ac:dyDescent="0.35">
      <c r="B23" t="s">
        <v>29</v>
      </c>
      <c r="E23" s="15">
        <f>F17</f>
        <v>0.3</v>
      </c>
      <c r="G23" t="s">
        <v>23</v>
      </c>
      <c r="J23" s="54">
        <f>Rm!G7-WACC!J22</f>
        <v>8.0207391304347841E-2</v>
      </c>
    </row>
    <row r="24" spans="2:10" ht="15.75" customHeight="1" x14ac:dyDescent="0.35">
      <c r="B24" s="26" t="s">
        <v>30</v>
      </c>
      <c r="C24" s="26"/>
      <c r="D24" s="26"/>
      <c r="E24" s="30">
        <f>E22*(1-E23)</f>
        <v>6.8028169014084497E-2</v>
      </c>
      <c r="G24" t="s">
        <v>26</v>
      </c>
      <c r="J24" s="58">
        <f>J33</f>
        <v>1.6814624297235128</v>
      </c>
    </row>
    <row r="25" spans="2:10" x14ac:dyDescent="0.35">
      <c r="G25" s="26" t="s">
        <v>21</v>
      </c>
      <c r="H25" s="26"/>
      <c r="I25" s="26"/>
      <c r="J25" s="59">
        <f>J22+(J23*J24)</f>
        <v>0.20877571506439327</v>
      </c>
    </row>
    <row r="28" spans="2:10" x14ac:dyDescent="0.35">
      <c r="B28" s="19" t="s">
        <v>16</v>
      </c>
      <c r="C28" s="24"/>
      <c r="D28" s="24"/>
      <c r="E28" s="24"/>
      <c r="G28" s="19" t="s">
        <v>31</v>
      </c>
      <c r="H28" s="24"/>
      <c r="I28" s="24"/>
      <c r="J28" s="24"/>
    </row>
    <row r="29" spans="2:10" x14ac:dyDescent="0.35">
      <c r="G29" s="1"/>
    </row>
    <row r="30" spans="2:10" x14ac:dyDescent="0.35">
      <c r="D30" s="25" t="s">
        <v>19</v>
      </c>
      <c r="E30" s="25" t="s">
        <v>20</v>
      </c>
      <c r="G30" s="8" t="s">
        <v>32</v>
      </c>
      <c r="J30" s="8">
        <f>J17</f>
        <v>1.3125779526123802</v>
      </c>
    </row>
    <row r="31" spans="2:10" x14ac:dyDescent="0.35">
      <c r="B31" t="s">
        <v>4</v>
      </c>
      <c r="C31" s="37">
        <f>D10</f>
        <v>710.83</v>
      </c>
      <c r="D31" s="13">
        <f>C31/$C$33</f>
        <v>3.1028378855707021E-3</v>
      </c>
      <c r="E31" s="31">
        <f>H16</f>
        <v>5.9448651101728436E-2</v>
      </c>
      <c r="G31" t="s">
        <v>33</v>
      </c>
      <c r="J31" s="32">
        <f>E35</f>
        <v>6.3206172817001943E-2</v>
      </c>
    </row>
    <row r="32" spans="2:10" x14ac:dyDescent="0.35">
      <c r="B32" t="s">
        <v>17</v>
      </c>
      <c r="C32" s="37">
        <f>E10</f>
        <v>228379.45</v>
      </c>
      <c r="D32" s="13">
        <f>C32/$C$33</f>
        <v>0.99689716211442936</v>
      </c>
      <c r="E32" s="15">
        <f>E33-E31</f>
        <v>0.94055134889827152</v>
      </c>
      <c r="G32" t="s">
        <v>29</v>
      </c>
      <c r="J32" s="15">
        <f>E23</f>
        <v>0.3</v>
      </c>
    </row>
    <row r="33" spans="1:10" x14ac:dyDescent="0.35">
      <c r="B33" t="s">
        <v>18</v>
      </c>
      <c r="C33" s="26">
        <f>SUM(C31:C32)</f>
        <v>229090.28</v>
      </c>
      <c r="D33" s="27">
        <f>C33/$C$33</f>
        <v>1</v>
      </c>
      <c r="E33" s="28">
        <f>D33</f>
        <v>1</v>
      </c>
      <c r="G33" s="26" t="s">
        <v>24</v>
      </c>
      <c r="H33" s="26"/>
      <c r="I33" s="26"/>
      <c r="J33" s="33">
        <f>J30*(1+(1-J31)*J32)</f>
        <v>1.6814624297235128</v>
      </c>
    </row>
    <row r="35" spans="1:10" x14ac:dyDescent="0.35">
      <c r="B35" t="s">
        <v>25</v>
      </c>
      <c r="D35" s="29">
        <f>D31/D32</f>
        <v>3.112495454385235E-3</v>
      </c>
      <c r="E35" s="29">
        <f>E31/E32</f>
        <v>6.3206172817001943E-2</v>
      </c>
      <c r="G35" s="19" t="s">
        <v>0</v>
      </c>
      <c r="H35" s="24"/>
      <c r="I35" s="24"/>
      <c r="J35" s="24"/>
    </row>
    <row r="36" spans="1:10" x14ac:dyDescent="0.35">
      <c r="G36" s="8"/>
    </row>
    <row r="37" spans="1:10" x14ac:dyDescent="0.35">
      <c r="B37" s="35" t="s">
        <v>34</v>
      </c>
      <c r="G37" t="s">
        <v>21</v>
      </c>
      <c r="J37" s="60">
        <f>J25</f>
        <v>0.20877571506439327</v>
      </c>
    </row>
    <row r="38" spans="1:10" x14ac:dyDescent="0.35">
      <c r="B38" s="35" t="s">
        <v>35</v>
      </c>
      <c r="G38" t="s">
        <v>91</v>
      </c>
      <c r="J38" s="15">
        <f>E32</f>
        <v>0.94055134889827152</v>
      </c>
    </row>
    <row r="39" spans="1:10" x14ac:dyDescent="0.35">
      <c r="A39" t="s">
        <v>36</v>
      </c>
      <c r="B39" s="35" t="s">
        <v>37</v>
      </c>
      <c r="J39" s="60"/>
    </row>
    <row r="40" spans="1:10" x14ac:dyDescent="0.35">
      <c r="B40" s="35" t="s">
        <v>38</v>
      </c>
      <c r="G40" t="s">
        <v>27</v>
      </c>
      <c r="J40" s="15">
        <f>E24</f>
        <v>6.8028169014084497E-2</v>
      </c>
    </row>
    <row r="41" spans="1:10" x14ac:dyDescent="0.35">
      <c r="G41" t="s">
        <v>92</v>
      </c>
      <c r="J41" s="15">
        <f>E31</f>
        <v>5.9448651101728436E-2</v>
      </c>
    </row>
    <row r="43" spans="1:10" x14ac:dyDescent="0.35">
      <c r="G43" s="61" t="s">
        <v>93</v>
      </c>
      <c r="H43" s="61"/>
      <c r="I43" s="61"/>
      <c r="J43" s="62">
        <f>(J37*J38)+(J40*J41)</f>
        <v>0.20040846330582401</v>
      </c>
    </row>
  </sheetData>
  <pageMargins left="0.7" right="0.7" top="0.75" bottom="0.75" header="0.3" footer="0.3"/>
  <pageSetup scale="88" orientation="portrait" r:id="rId1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1D04-130C-4EB5-94D1-E96A482944C5}">
  <dimension ref="B2:T111"/>
  <sheetViews>
    <sheetView showGridLines="0" workbookViewId="0">
      <selection activeCell="C2" sqref="C2"/>
    </sheetView>
  </sheetViews>
  <sheetFormatPr defaultRowHeight="14.5" x14ac:dyDescent="0.35"/>
  <cols>
    <col min="1" max="1" width="1.81640625" customWidth="1"/>
    <col min="2" max="2" width="11.1796875" customWidth="1"/>
    <col min="3" max="3" width="12.26953125" bestFit="1" customWidth="1"/>
    <col min="4" max="4" width="11.26953125" customWidth="1"/>
    <col min="6" max="6" width="13.54296875" bestFit="1" customWidth="1"/>
    <col min="9" max="9" width="18.1796875" customWidth="1"/>
    <col min="10" max="10" width="12" bestFit="1" customWidth="1"/>
    <col min="12" max="12" width="14.453125" customWidth="1"/>
    <col min="13" max="13" width="14.54296875" customWidth="1"/>
    <col min="14" max="14" width="11.81640625" customWidth="1"/>
    <col min="15" max="15" width="10.81640625" customWidth="1"/>
    <col min="16" max="16" width="11.7265625" customWidth="1"/>
    <col min="17" max="17" width="11.26953125" customWidth="1"/>
    <col min="18" max="18" width="12.81640625" customWidth="1"/>
  </cols>
  <sheetData>
    <row r="2" spans="2:13" x14ac:dyDescent="0.35">
      <c r="B2" s="1" t="s">
        <v>83</v>
      </c>
    </row>
    <row r="4" spans="2:13" x14ac:dyDescent="0.35">
      <c r="B4" s="63" t="s">
        <v>46</v>
      </c>
      <c r="C4" s="63"/>
      <c r="D4" s="63"/>
      <c r="F4" s="63" t="s">
        <v>48</v>
      </c>
      <c r="G4" s="63"/>
      <c r="I4" s="63" t="s">
        <v>77</v>
      </c>
      <c r="J4" s="63"/>
      <c r="L4" t="s">
        <v>49</v>
      </c>
      <c r="M4" s="8">
        <f>SLOPE(D8:D111,G8:G111)</f>
        <v>1.24211963040074</v>
      </c>
    </row>
    <row r="5" spans="2:13" x14ac:dyDescent="0.35">
      <c r="B5" s="1"/>
      <c r="L5" t="s">
        <v>50</v>
      </c>
      <c r="M5" s="8">
        <f>_xlfn.COVARIANCE.S(D7:D111,G7:G111)/_xlfn.VAR.S(G7:G111)</f>
        <v>1.2421196304007396</v>
      </c>
    </row>
    <row r="6" spans="2:13" x14ac:dyDescent="0.35">
      <c r="B6" s="43" t="s">
        <v>39</v>
      </c>
      <c r="C6" s="44" t="s">
        <v>45</v>
      </c>
      <c r="D6" s="44" t="s">
        <v>47</v>
      </c>
      <c r="F6" s="44" t="s">
        <v>45</v>
      </c>
      <c r="G6" s="44" t="s">
        <v>47</v>
      </c>
      <c r="I6" s="38" t="s">
        <v>78</v>
      </c>
      <c r="J6" s="8">
        <f>M7</f>
        <v>1.2421196304007405</v>
      </c>
    </row>
    <row r="7" spans="2:13" x14ac:dyDescent="0.35">
      <c r="B7" s="39">
        <v>44249</v>
      </c>
      <c r="C7" s="40">
        <v>2994.1999510000001</v>
      </c>
      <c r="F7" s="36">
        <v>14529.150390999999</v>
      </c>
      <c r="I7" t="s">
        <v>79</v>
      </c>
      <c r="J7" s="13">
        <v>0.75</v>
      </c>
      <c r="L7" t="s">
        <v>51</v>
      </c>
      <c r="M7" s="8">
        <f>M26</f>
        <v>1.2421196304007405</v>
      </c>
    </row>
    <row r="8" spans="2:13" x14ac:dyDescent="0.35">
      <c r="B8" s="39">
        <v>44256</v>
      </c>
      <c r="C8" s="40">
        <v>3286.1000979999999</v>
      </c>
      <c r="D8" s="13">
        <f>C8/C7-1</f>
        <v>9.7488528413912867E-2</v>
      </c>
      <c r="F8" s="36">
        <v>14938.099609000001</v>
      </c>
      <c r="G8" s="13">
        <f>F8/F7-1</f>
        <v>2.8146808794361711E-2</v>
      </c>
      <c r="J8" s="8"/>
    </row>
    <row r="9" spans="2:13" x14ac:dyDescent="0.35">
      <c r="B9" s="39">
        <v>44263</v>
      </c>
      <c r="C9" s="40">
        <v>3129.3500979999999</v>
      </c>
      <c r="D9" s="13">
        <f t="shared" ref="D9:D72" si="0">C9/C8-1</f>
        <v>-4.7700920643105715E-2</v>
      </c>
      <c r="F9" s="36">
        <v>15030.950194999999</v>
      </c>
      <c r="G9" s="13">
        <f t="shared" ref="G9:G72" si="1">F9/F8-1</f>
        <v>6.2156893065605789E-3</v>
      </c>
      <c r="I9" t="s">
        <v>81</v>
      </c>
      <c r="J9" s="8">
        <v>1</v>
      </c>
      <c r="L9" t="s">
        <v>52</v>
      </c>
    </row>
    <row r="10" spans="2:13" ht="15" thickBot="1" x14ac:dyDescent="0.4">
      <c r="B10" s="39">
        <v>44270</v>
      </c>
      <c r="C10" s="40">
        <v>2960.3000489999999</v>
      </c>
      <c r="D10" s="13">
        <f t="shared" si="0"/>
        <v>-5.402081700863115E-2</v>
      </c>
      <c r="F10" s="36">
        <v>14744</v>
      </c>
      <c r="G10" s="13">
        <f t="shared" si="1"/>
        <v>-1.9090622434199345E-2</v>
      </c>
      <c r="I10" t="s">
        <v>80</v>
      </c>
      <c r="J10" s="13">
        <v>0.25</v>
      </c>
    </row>
    <row r="11" spans="2:13" x14ac:dyDescent="0.35">
      <c r="B11" s="39">
        <v>44277</v>
      </c>
      <c r="C11" s="40">
        <v>2855.1999510000001</v>
      </c>
      <c r="D11" s="13">
        <f t="shared" si="0"/>
        <v>-3.5503190980759936E-2</v>
      </c>
      <c r="F11" s="36">
        <v>14507.299805000001</v>
      </c>
      <c r="G11" s="13">
        <f t="shared" si="1"/>
        <v>-1.6054001288659747E-2</v>
      </c>
      <c r="L11" s="47" t="s">
        <v>53</v>
      </c>
      <c r="M11" s="47"/>
    </row>
    <row r="12" spans="2:13" x14ac:dyDescent="0.35">
      <c r="B12" s="39">
        <v>44284</v>
      </c>
      <c r="C12" s="40">
        <v>2912.6999510000001</v>
      </c>
      <c r="D12" s="13">
        <f t="shared" si="0"/>
        <v>2.0138694657745981E-2</v>
      </c>
      <c r="F12" s="36">
        <v>14867.349609000001</v>
      </c>
      <c r="G12" s="13">
        <f t="shared" si="1"/>
        <v>2.4818526454930545E-2</v>
      </c>
      <c r="I12" s="48" t="s">
        <v>82</v>
      </c>
      <c r="J12" s="49">
        <f>(J6*J7)+(J9*J10)</f>
        <v>1.1815897228005554</v>
      </c>
      <c r="L12" t="s">
        <v>54</v>
      </c>
      <c r="M12">
        <v>0.51108084476327509</v>
      </c>
    </row>
    <row r="13" spans="2:13" x14ac:dyDescent="0.35">
      <c r="B13" s="39">
        <v>44291</v>
      </c>
      <c r="C13" s="40">
        <v>2947.75</v>
      </c>
      <c r="D13" s="13">
        <f t="shared" si="0"/>
        <v>1.2033525453923444E-2</v>
      </c>
      <c r="F13" s="36">
        <v>14834.849609000001</v>
      </c>
      <c r="G13" s="13">
        <f t="shared" si="1"/>
        <v>-2.1859982347038898E-3</v>
      </c>
      <c r="L13" t="s">
        <v>55</v>
      </c>
      <c r="M13">
        <v>0.26120362988394291</v>
      </c>
    </row>
    <row r="14" spans="2:13" x14ac:dyDescent="0.35">
      <c r="B14" s="39">
        <v>44298</v>
      </c>
      <c r="C14" s="40">
        <v>2919.8999020000001</v>
      </c>
      <c r="D14" s="13">
        <f t="shared" si="0"/>
        <v>-9.4479172250020449E-3</v>
      </c>
      <c r="F14" s="36">
        <v>14617.849609000001</v>
      </c>
      <c r="G14" s="13">
        <f t="shared" si="1"/>
        <v>-1.4627718225626696E-2</v>
      </c>
      <c r="L14" t="s">
        <v>56</v>
      </c>
      <c r="M14">
        <v>0.2539605282161384</v>
      </c>
    </row>
    <row r="15" spans="2:13" x14ac:dyDescent="0.35">
      <c r="B15" s="39">
        <v>44305</v>
      </c>
      <c r="C15" s="40">
        <v>2713.6999510000001</v>
      </c>
      <c r="D15" s="13">
        <f t="shared" si="0"/>
        <v>-7.0618842398933679E-2</v>
      </c>
      <c r="F15" s="36">
        <v>14341.349609000001</v>
      </c>
      <c r="G15" s="13">
        <f t="shared" si="1"/>
        <v>-1.8915230857879606E-2</v>
      </c>
      <c r="L15" t="s">
        <v>57</v>
      </c>
      <c r="M15">
        <v>4.2285168880719627E-2</v>
      </c>
    </row>
    <row r="16" spans="2:13" ht="15" thickBot="1" x14ac:dyDescent="0.4">
      <c r="B16" s="39">
        <v>44312</v>
      </c>
      <c r="C16" s="40">
        <v>2852.8999020000001</v>
      </c>
      <c r="D16" s="13">
        <f t="shared" si="0"/>
        <v>5.1295262377369699E-2</v>
      </c>
      <c r="F16" s="36">
        <v>14631.099609000001</v>
      </c>
      <c r="G16" s="13">
        <f t="shared" si="1"/>
        <v>2.0203816788495699E-2</v>
      </c>
      <c r="L16" s="45" t="s">
        <v>58</v>
      </c>
      <c r="M16" s="45">
        <v>104</v>
      </c>
    </row>
    <row r="17" spans="2:20" x14ac:dyDescent="0.35">
      <c r="B17" s="39">
        <v>44319</v>
      </c>
      <c r="C17" s="40">
        <v>2895.5</v>
      </c>
      <c r="D17" s="13">
        <f t="shared" si="0"/>
        <v>1.4932209142751729E-2</v>
      </c>
      <c r="F17" s="36">
        <v>14823.150390999999</v>
      </c>
      <c r="G17" s="13">
        <f t="shared" si="1"/>
        <v>1.3126202891945438E-2</v>
      </c>
    </row>
    <row r="18" spans="2:20" ht="15" thickBot="1" x14ac:dyDescent="0.4">
      <c r="B18" s="39">
        <v>44326</v>
      </c>
      <c r="C18" s="40">
        <v>2844.6499020000001</v>
      </c>
      <c r="D18" s="13">
        <f t="shared" si="0"/>
        <v>-1.7561767570367759E-2</v>
      </c>
      <c r="F18" s="36">
        <v>14677.799805000001</v>
      </c>
      <c r="G18" s="13">
        <f t="shared" si="1"/>
        <v>-9.8056473938393784E-3</v>
      </c>
      <c r="L18" t="s">
        <v>59</v>
      </c>
    </row>
    <row r="19" spans="2:20" x14ac:dyDescent="0.35">
      <c r="B19" s="39">
        <v>44333</v>
      </c>
      <c r="C19" s="40">
        <v>3034.1499020000001</v>
      </c>
      <c r="D19" s="13">
        <f t="shared" si="0"/>
        <v>6.6616281977886826E-2</v>
      </c>
      <c r="F19" s="36">
        <v>15175.299805000001</v>
      </c>
      <c r="G19" s="13">
        <f t="shared" si="1"/>
        <v>3.3894725817865901E-2</v>
      </c>
      <c r="L19" s="46"/>
      <c r="M19" s="46" t="s">
        <v>64</v>
      </c>
      <c r="N19" s="46" t="s">
        <v>65</v>
      </c>
      <c r="O19" s="46" t="s">
        <v>66</v>
      </c>
      <c r="P19" s="46" t="s">
        <v>67</v>
      </c>
      <c r="Q19" s="46" t="s">
        <v>68</v>
      </c>
    </row>
    <row r="20" spans="2:20" x14ac:dyDescent="0.35">
      <c r="B20" s="39">
        <v>44340</v>
      </c>
      <c r="C20" s="40">
        <v>3022.1000979999999</v>
      </c>
      <c r="D20" s="13">
        <f t="shared" si="0"/>
        <v>-3.971393764051534E-3</v>
      </c>
      <c r="F20" s="36">
        <v>15435.650390999999</v>
      </c>
      <c r="G20" s="13">
        <f t="shared" si="1"/>
        <v>1.7156207082921426E-2</v>
      </c>
      <c r="L20" t="s">
        <v>60</v>
      </c>
      <c r="M20">
        <v>1</v>
      </c>
      <c r="N20">
        <v>6.4480851751198193E-2</v>
      </c>
      <c r="O20">
        <v>6.4480851751198193E-2</v>
      </c>
      <c r="P20">
        <v>36.062400041268319</v>
      </c>
      <c r="Q20">
        <v>2.9630301858897445E-8</v>
      </c>
    </row>
    <row r="21" spans="2:20" x14ac:dyDescent="0.35">
      <c r="B21" s="39">
        <v>44347</v>
      </c>
      <c r="C21" s="40">
        <v>3197</v>
      </c>
      <c r="D21" s="13">
        <f t="shared" si="0"/>
        <v>5.7873629703975471E-2</v>
      </c>
      <c r="F21" s="36">
        <v>15670.25</v>
      </c>
      <c r="G21" s="13">
        <f t="shared" si="1"/>
        <v>1.5198556786229611E-2</v>
      </c>
      <c r="L21" t="s">
        <v>61</v>
      </c>
      <c r="M21">
        <v>102</v>
      </c>
      <c r="N21">
        <v>0.18237962174163994</v>
      </c>
      <c r="O21">
        <v>1.7880355072709797E-3</v>
      </c>
    </row>
    <row r="22" spans="2:20" ht="15" thickBot="1" x14ac:dyDescent="0.4">
      <c r="B22" s="39">
        <v>44354</v>
      </c>
      <c r="C22" s="40">
        <v>3175.5500489999999</v>
      </c>
      <c r="D22" s="13">
        <f t="shared" si="0"/>
        <v>-6.7093997497654767E-3</v>
      </c>
      <c r="F22" s="36">
        <v>15799.349609000001</v>
      </c>
      <c r="G22" s="13">
        <f t="shared" si="1"/>
        <v>8.2385162329892125E-3</v>
      </c>
      <c r="L22" s="45" t="s">
        <v>62</v>
      </c>
      <c r="M22" s="45">
        <v>103</v>
      </c>
      <c r="N22" s="45">
        <v>0.24686047349283813</v>
      </c>
      <c r="O22" s="45"/>
      <c r="P22" s="45"/>
      <c r="Q22" s="45"/>
    </row>
    <row r="23" spans="2:20" ht="15" thickBot="1" x14ac:dyDescent="0.4">
      <c r="B23" s="39">
        <v>44361</v>
      </c>
      <c r="C23" s="40">
        <v>3317.6999510000001</v>
      </c>
      <c r="D23" s="13">
        <f t="shared" si="0"/>
        <v>4.476386761555351E-2</v>
      </c>
      <c r="F23" s="36">
        <v>15683.349609000001</v>
      </c>
      <c r="G23" s="13">
        <f t="shared" si="1"/>
        <v>-7.3420743809555766E-3</v>
      </c>
    </row>
    <row r="24" spans="2:20" x14ac:dyDescent="0.35">
      <c r="B24" s="39">
        <v>44368</v>
      </c>
      <c r="C24" s="40">
        <v>3315.3500979999999</v>
      </c>
      <c r="D24" s="13">
        <f t="shared" si="0"/>
        <v>-7.082777329794343E-4</v>
      </c>
      <c r="F24" s="36">
        <v>15860.349609000001</v>
      </c>
      <c r="G24" s="13">
        <f t="shared" si="1"/>
        <v>1.1285854387791394E-2</v>
      </c>
      <c r="L24" s="46"/>
      <c r="M24" s="46" t="s">
        <v>69</v>
      </c>
      <c r="N24" s="46" t="s">
        <v>57</v>
      </c>
      <c r="O24" s="46" t="s">
        <v>70</v>
      </c>
      <c r="P24" s="46" t="s">
        <v>71</v>
      </c>
      <c r="Q24" s="46" t="s">
        <v>72</v>
      </c>
      <c r="R24" s="46" t="s">
        <v>73</v>
      </c>
      <c r="S24" s="46" t="s">
        <v>74</v>
      </c>
      <c r="T24" s="46" t="s">
        <v>75</v>
      </c>
    </row>
    <row r="25" spans="2:20" x14ac:dyDescent="0.35">
      <c r="B25" s="39">
        <v>44375</v>
      </c>
      <c r="C25" s="40">
        <v>3314.3000489999999</v>
      </c>
      <c r="D25" s="13">
        <f t="shared" si="0"/>
        <v>-3.1672341350419408E-4</v>
      </c>
      <c r="F25" s="36">
        <v>15722.200194999999</v>
      </c>
      <c r="G25" s="13">
        <f t="shared" si="1"/>
        <v>-8.7103637313018512E-3</v>
      </c>
      <c r="L25" t="s">
        <v>63</v>
      </c>
      <c r="M25">
        <v>1.0669115618811139E-4</v>
      </c>
      <c r="N25">
        <v>4.1708464646725736E-3</v>
      </c>
      <c r="O25">
        <v>2.5580216651894194E-2</v>
      </c>
      <c r="P25">
        <v>0.97964214464629351</v>
      </c>
      <c r="Q25">
        <v>-8.166163030683694E-3</v>
      </c>
      <c r="R25">
        <v>8.3795453430599177E-3</v>
      </c>
      <c r="S25">
        <v>-8.166163030683694E-3</v>
      </c>
      <c r="T25">
        <v>8.3795453430599177E-3</v>
      </c>
    </row>
    <row r="26" spans="2:20" ht="15" thickBot="1" x14ac:dyDescent="0.4">
      <c r="B26" s="39">
        <v>44382</v>
      </c>
      <c r="C26" s="40">
        <v>3377.6000979999999</v>
      </c>
      <c r="D26" s="13">
        <f t="shared" si="0"/>
        <v>1.9099070109569238E-2</v>
      </c>
      <c r="F26" s="36">
        <v>15689.799805000001</v>
      </c>
      <c r="G26" s="13">
        <f t="shared" si="1"/>
        <v>-2.0608050780515086E-3</v>
      </c>
      <c r="L26" s="45" t="s">
        <v>76</v>
      </c>
      <c r="M26" s="45">
        <v>1.2421196304007405</v>
      </c>
      <c r="N26" s="45">
        <v>0.20684075390789466</v>
      </c>
      <c r="O26" s="45">
        <v>6.0051977520535011</v>
      </c>
      <c r="P26" s="45">
        <v>2.9630301858896244E-8</v>
      </c>
      <c r="Q26" s="45">
        <v>0.83185197574685965</v>
      </c>
      <c r="R26" s="45">
        <v>1.6523872850546213</v>
      </c>
      <c r="S26" s="45">
        <v>0.83185197574685965</v>
      </c>
      <c r="T26" s="45">
        <v>1.6523872850546213</v>
      </c>
    </row>
    <row r="27" spans="2:20" x14ac:dyDescent="0.35">
      <c r="B27" s="39">
        <v>44389</v>
      </c>
      <c r="C27" s="40">
        <v>3349.1999510000001</v>
      </c>
      <c r="D27" s="13">
        <f t="shared" si="0"/>
        <v>-8.4083805589704186E-3</v>
      </c>
      <c r="F27" s="36">
        <v>15923.400390999999</v>
      </c>
      <c r="G27" s="13">
        <f t="shared" si="1"/>
        <v>1.488869130921322E-2</v>
      </c>
    </row>
    <row r="28" spans="2:20" x14ac:dyDescent="0.35">
      <c r="B28" s="39">
        <v>44396</v>
      </c>
      <c r="C28" s="40">
        <v>3413.1999510000001</v>
      </c>
      <c r="D28" s="13">
        <f t="shared" si="0"/>
        <v>1.9109041244578684E-2</v>
      </c>
      <c r="F28" s="36">
        <v>15856.049805000001</v>
      </c>
      <c r="G28" s="13">
        <f t="shared" si="1"/>
        <v>-4.2296610237889665E-3</v>
      </c>
    </row>
    <row r="29" spans="2:20" x14ac:dyDescent="0.35">
      <c r="B29" s="39">
        <v>44403</v>
      </c>
      <c r="C29" s="40">
        <v>3500.8000489999999</v>
      </c>
      <c r="D29" s="13">
        <f t="shared" si="0"/>
        <v>2.5665094122111043E-2</v>
      </c>
      <c r="F29" s="36">
        <v>15763.049805000001</v>
      </c>
      <c r="G29" s="13">
        <f t="shared" si="1"/>
        <v>-5.8652691650018518E-3</v>
      </c>
    </row>
    <row r="30" spans="2:20" x14ac:dyDescent="0.35">
      <c r="B30" s="39">
        <v>44410</v>
      </c>
      <c r="C30" s="40">
        <v>3529.1999510000001</v>
      </c>
      <c r="D30" s="13">
        <f t="shared" si="0"/>
        <v>8.1124033370922888E-3</v>
      </c>
      <c r="F30" s="36">
        <v>16238.200194999999</v>
      </c>
      <c r="G30" s="13">
        <f t="shared" si="1"/>
        <v>3.0143303223547635E-2</v>
      </c>
    </row>
    <row r="31" spans="2:20" x14ac:dyDescent="0.35">
      <c r="B31" s="39">
        <v>44417</v>
      </c>
      <c r="C31" s="40">
        <v>3594.5500489999999</v>
      </c>
      <c r="D31" s="13">
        <f t="shared" si="0"/>
        <v>1.8516972375419716E-2</v>
      </c>
      <c r="F31" s="36">
        <v>16529.099609000001</v>
      </c>
      <c r="G31" s="13">
        <f t="shared" si="1"/>
        <v>1.79145108760006E-2</v>
      </c>
    </row>
    <row r="32" spans="2:20" x14ac:dyDescent="0.35">
      <c r="B32" s="39">
        <v>44424</v>
      </c>
      <c r="C32" s="40">
        <v>3643.1000979999999</v>
      </c>
      <c r="D32" s="13">
        <f t="shared" si="0"/>
        <v>1.3506571987641713E-2</v>
      </c>
      <c r="F32" s="36">
        <v>16450.5</v>
      </c>
      <c r="G32" s="13">
        <f t="shared" si="1"/>
        <v>-4.7552262893499897E-3</v>
      </c>
    </row>
    <row r="33" spans="2:7" x14ac:dyDescent="0.35">
      <c r="B33" s="39">
        <v>44431</v>
      </c>
      <c r="C33" s="40">
        <v>3833.0500489999999</v>
      </c>
      <c r="D33" s="13">
        <f t="shared" si="0"/>
        <v>5.2139646424834485E-2</v>
      </c>
      <c r="F33" s="36">
        <v>16705.199218999998</v>
      </c>
      <c r="G33" s="13">
        <f t="shared" si="1"/>
        <v>1.5482764596820742E-2</v>
      </c>
    </row>
    <row r="34" spans="2:7" x14ac:dyDescent="0.35">
      <c r="B34" s="39">
        <v>44438</v>
      </c>
      <c r="C34" s="40">
        <v>3938.8999020000001</v>
      </c>
      <c r="D34" s="13">
        <f t="shared" si="0"/>
        <v>2.7615045889529899E-2</v>
      </c>
      <c r="F34" s="36">
        <v>17323.599609000001</v>
      </c>
      <c r="G34" s="13">
        <f t="shared" si="1"/>
        <v>3.7018438504860862E-2</v>
      </c>
    </row>
    <row r="35" spans="2:7" x14ac:dyDescent="0.35">
      <c r="B35" s="39">
        <v>44445</v>
      </c>
      <c r="C35" s="40">
        <v>3950.5</v>
      </c>
      <c r="D35" s="13">
        <f t="shared" si="0"/>
        <v>2.9450095936964793E-3</v>
      </c>
      <c r="F35" s="36">
        <v>17369.25</v>
      </c>
      <c r="G35" s="13">
        <f t="shared" si="1"/>
        <v>2.6351562048503308E-3</v>
      </c>
    </row>
    <row r="36" spans="2:7" x14ac:dyDescent="0.35">
      <c r="B36" s="39">
        <v>44452</v>
      </c>
      <c r="C36" s="40">
        <v>4239.6499020000001</v>
      </c>
      <c r="D36" s="13">
        <f t="shared" si="0"/>
        <v>7.3193241868118042E-2</v>
      </c>
      <c r="F36" s="36">
        <v>17585.150390999999</v>
      </c>
      <c r="G36" s="13">
        <f t="shared" si="1"/>
        <v>1.2430035321041366E-2</v>
      </c>
    </row>
    <row r="37" spans="2:7" x14ac:dyDescent="0.35">
      <c r="B37" s="39">
        <v>44459</v>
      </c>
      <c r="C37" s="40">
        <v>4422.3500979999999</v>
      </c>
      <c r="D37" s="13">
        <f t="shared" si="0"/>
        <v>4.3093227087881214E-2</v>
      </c>
      <c r="F37" s="36">
        <v>17853.199218999998</v>
      </c>
      <c r="G37" s="13">
        <f t="shared" si="1"/>
        <v>1.5242907910368864E-2</v>
      </c>
    </row>
    <row r="38" spans="2:7" x14ac:dyDescent="0.35">
      <c r="B38" s="39">
        <v>44466</v>
      </c>
      <c r="C38" s="40">
        <v>4235.6000979999999</v>
      </c>
      <c r="D38" s="13">
        <f t="shared" si="0"/>
        <v>-4.2228678386285412E-2</v>
      </c>
      <c r="F38" s="36">
        <v>17532.050781000002</v>
      </c>
      <c r="G38" s="13">
        <f t="shared" si="1"/>
        <v>-1.7988285128091697E-2</v>
      </c>
    </row>
    <row r="39" spans="2:7" x14ac:dyDescent="0.35">
      <c r="B39" s="39">
        <v>44473</v>
      </c>
      <c r="C39" s="40">
        <v>4407.9501950000003</v>
      </c>
      <c r="D39" s="13">
        <f t="shared" si="0"/>
        <v>4.0690833178840924E-2</v>
      </c>
      <c r="F39" s="36">
        <v>17895.199218999998</v>
      </c>
      <c r="G39" s="13">
        <f t="shared" si="1"/>
        <v>2.0713403271313213E-2</v>
      </c>
    </row>
    <row r="40" spans="2:7" x14ac:dyDescent="0.35">
      <c r="B40" s="39">
        <v>44480</v>
      </c>
      <c r="C40" s="40">
        <v>5323.75</v>
      </c>
      <c r="D40" s="13">
        <f t="shared" si="0"/>
        <v>0.2077609238958289</v>
      </c>
      <c r="F40" s="36">
        <v>18338.550781000002</v>
      </c>
      <c r="G40" s="13">
        <f t="shared" si="1"/>
        <v>2.4774888313580767E-2</v>
      </c>
    </row>
    <row r="41" spans="2:7" x14ac:dyDescent="0.35">
      <c r="B41" s="39">
        <v>44487</v>
      </c>
      <c r="C41" s="40">
        <v>4521.4501950000003</v>
      </c>
      <c r="D41" s="13">
        <f t="shared" si="0"/>
        <v>-0.1507020061047194</v>
      </c>
      <c r="F41" s="36">
        <v>18114.900390999999</v>
      </c>
      <c r="G41" s="13">
        <f t="shared" si="1"/>
        <v>-1.2195641447944716E-2</v>
      </c>
    </row>
    <row r="42" spans="2:7" x14ac:dyDescent="0.35">
      <c r="B42" s="39">
        <v>44494</v>
      </c>
      <c r="C42" s="40">
        <v>4635.4501950000003</v>
      </c>
      <c r="D42" s="13">
        <f t="shared" si="0"/>
        <v>2.5213149561188475E-2</v>
      </c>
      <c r="F42" s="36">
        <v>17671.650390999999</v>
      </c>
      <c r="G42" s="13">
        <f t="shared" si="1"/>
        <v>-2.4468806917658736E-2</v>
      </c>
    </row>
    <row r="43" spans="2:7" x14ac:dyDescent="0.35">
      <c r="B43" s="39">
        <v>44501</v>
      </c>
      <c r="C43" s="40">
        <v>4783.7001950000003</v>
      </c>
      <c r="D43" s="13">
        <f t="shared" si="0"/>
        <v>3.1981791145099248E-2</v>
      </c>
      <c r="F43" s="36">
        <v>17916.800781000002</v>
      </c>
      <c r="G43" s="13">
        <f t="shared" si="1"/>
        <v>1.3872523764099309E-2</v>
      </c>
    </row>
    <row r="44" spans="2:7" x14ac:dyDescent="0.35">
      <c r="B44" s="39">
        <v>44508</v>
      </c>
      <c r="C44" s="40">
        <v>5078.5498049999997</v>
      </c>
      <c r="D44" s="13">
        <f t="shared" si="0"/>
        <v>6.1636306202504265E-2</v>
      </c>
      <c r="F44" s="36">
        <v>18102.75</v>
      </c>
      <c r="G44" s="13">
        <f t="shared" si="1"/>
        <v>1.0378483372834646E-2</v>
      </c>
    </row>
    <row r="45" spans="2:7" x14ac:dyDescent="0.35">
      <c r="B45" s="39">
        <v>44515</v>
      </c>
      <c r="C45" s="40">
        <v>5080.8999020000001</v>
      </c>
      <c r="D45" s="13">
        <f t="shared" si="0"/>
        <v>4.6274962149372989E-4</v>
      </c>
      <c r="F45" s="36">
        <v>17764.800781000002</v>
      </c>
      <c r="G45" s="13">
        <f t="shared" si="1"/>
        <v>-1.8668391211279944E-2</v>
      </c>
    </row>
    <row r="46" spans="2:7" x14ac:dyDescent="0.35">
      <c r="B46" s="39">
        <v>44522</v>
      </c>
      <c r="C46" s="40">
        <v>4718.75</v>
      </c>
      <c r="D46" s="13">
        <f t="shared" si="0"/>
        <v>-7.1276724396291846E-2</v>
      </c>
      <c r="F46" s="36">
        <v>17026.449218999998</v>
      </c>
      <c r="G46" s="13">
        <f t="shared" si="1"/>
        <v>-4.1562614245001406E-2</v>
      </c>
    </row>
    <row r="47" spans="2:7" x14ac:dyDescent="0.35">
      <c r="B47" s="39">
        <v>44529</v>
      </c>
      <c r="C47" s="40">
        <v>4799.0498049999997</v>
      </c>
      <c r="D47" s="13">
        <f t="shared" si="0"/>
        <v>1.7017177218543011E-2</v>
      </c>
      <c r="F47" s="36">
        <v>17196.699218999998</v>
      </c>
      <c r="G47" s="13">
        <f t="shared" si="1"/>
        <v>9.9991488424970854E-3</v>
      </c>
    </row>
    <row r="48" spans="2:7" x14ac:dyDescent="0.35">
      <c r="B48" s="39">
        <v>44536</v>
      </c>
      <c r="C48" s="40">
        <v>4796.6000979999999</v>
      </c>
      <c r="D48" s="13">
        <f t="shared" si="0"/>
        <v>-5.1045667362059621E-4</v>
      </c>
      <c r="F48" s="36">
        <v>17511.300781000002</v>
      </c>
      <c r="G48" s="13">
        <f t="shared" si="1"/>
        <v>1.8294299271828462E-2</v>
      </c>
    </row>
    <row r="49" spans="2:7" x14ac:dyDescent="0.35">
      <c r="B49" s="39">
        <v>44543</v>
      </c>
      <c r="C49" s="40">
        <v>4697.7998049999997</v>
      </c>
      <c r="D49" s="13">
        <f t="shared" si="0"/>
        <v>-2.059798419326142E-2</v>
      </c>
      <c r="F49" s="36">
        <v>16985.199218999998</v>
      </c>
      <c r="G49" s="13">
        <f t="shared" si="1"/>
        <v>-3.0043545512668635E-2</v>
      </c>
    </row>
    <row r="50" spans="2:7" x14ac:dyDescent="0.35">
      <c r="B50" s="39">
        <v>44550</v>
      </c>
      <c r="C50" s="40">
        <v>4628.8999020000001</v>
      </c>
      <c r="D50" s="13">
        <f t="shared" si="0"/>
        <v>-1.4666419570852574E-2</v>
      </c>
      <c r="F50" s="36">
        <v>17003.75</v>
      </c>
      <c r="G50" s="13">
        <f t="shared" si="1"/>
        <v>1.0921732951623131E-3</v>
      </c>
    </row>
    <row r="51" spans="2:7" x14ac:dyDescent="0.35">
      <c r="B51" s="39">
        <v>44557</v>
      </c>
      <c r="C51" s="40">
        <v>4671.4501950000003</v>
      </c>
      <c r="D51" s="13">
        <f t="shared" si="0"/>
        <v>9.1923121909842642E-3</v>
      </c>
      <c r="F51" s="36">
        <v>17354.050781000002</v>
      </c>
      <c r="G51" s="13">
        <f t="shared" si="1"/>
        <v>2.0601383871204915E-2</v>
      </c>
    </row>
    <row r="52" spans="2:7" x14ac:dyDescent="0.35">
      <c r="B52" s="39">
        <v>44564</v>
      </c>
      <c r="C52" s="40">
        <v>4731.3500979999999</v>
      </c>
      <c r="D52" s="13">
        <f t="shared" si="0"/>
        <v>1.2822549850603604E-2</v>
      </c>
      <c r="F52" s="36">
        <v>17812.699218999998</v>
      </c>
      <c r="G52" s="13">
        <f t="shared" si="1"/>
        <v>2.6428898001275014E-2</v>
      </c>
    </row>
    <row r="53" spans="2:7" x14ac:dyDescent="0.35">
      <c r="B53" s="39">
        <v>44571</v>
      </c>
      <c r="C53" s="40">
        <v>4322.7001950000003</v>
      </c>
      <c r="D53" s="13">
        <f t="shared" si="0"/>
        <v>-8.6370675290492804E-2</v>
      </c>
      <c r="F53" s="36">
        <v>18255.75</v>
      </c>
      <c r="G53" s="13">
        <f t="shared" si="1"/>
        <v>2.4872748119354027E-2</v>
      </c>
    </row>
    <row r="54" spans="2:7" x14ac:dyDescent="0.35">
      <c r="B54" s="39">
        <v>44578</v>
      </c>
      <c r="C54" s="40">
        <v>4299.7998049999997</v>
      </c>
      <c r="D54" s="13">
        <f t="shared" si="0"/>
        <v>-5.2977048990094922E-3</v>
      </c>
      <c r="F54" s="36">
        <v>17617.150390999999</v>
      </c>
      <c r="G54" s="13">
        <f t="shared" si="1"/>
        <v>-3.4980738068827621E-2</v>
      </c>
    </row>
    <row r="55" spans="2:7" x14ac:dyDescent="0.35">
      <c r="B55" s="39">
        <v>44585</v>
      </c>
      <c r="C55" s="40">
        <v>4076</v>
      </c>
      <c r="D55" s="13">
        <f t="shared" si="0"/>
        <v>-5.2048889518008568E-2</v>
      </c>
      <c r="F55" s="36">
        <v>17101.949218999998</v>
      </c>
      <c r="G55" s="13">
        <f t="shared" si="1"/>
        <v>-2.9244296640800638E-2</v>
      </c>
    </row>
    <row r="56" spans="2:7" x14ac:dyDescent="0.35">
      <c r="B56" s="39">
        <v>44592</v>
      </c>
      <c r="C56" s="40">
        <v>4081.8999020000001</v>
      </c>
      <c r="D56" s="13">
        <f t="shared" si="0"/>
        <v>1.4474735034346597E-3</v>
      </c>
      <c r="F56" s="36">
        <v>17516.300781000002</v>
      </c>
      <c r="G56" s="13">
        <f t="shared" si="1"/>
        <v>2.4228323724623468E-2</v>
      </c>
    </row>
    <row r="57" spans="2:7" x14ac:dyDescent="0.35">
      <c r="B57" s="39">
        <v>44599</v>
      </c>
      <c r="C57" s="40">
        <v>4142.25</v>
      </c>
      <c r="D57" s="13">
        <f t="shared" si="0"/>
        <v>1.4784805960192715E-2</v>
      </c>
      <c r="F57" s="36">
        <v>17374.75</v>
      </c>
      <c r="G57" s="13">
        <f t="shared" si="1"/>
        <v>-8.0810887395552644E-3</v>
      </c>
    </row>
    <row r="58" spans="2:7" x14ac:dyDescent="0.35">
      <c r="B58" s="39">
        <v>44606</v>
      </c>
      <c r="C58" s="40">
        <v>4073.1000979999999</v>
      </c>
      <c r="D58" s="13">
        <f t="shared" si="0"/>
        <v>-1.6693802160661519E-2</v>
      </c>
      <c r="F58" s="36">
        <v>17276.300781000002</v>
      </c>
      <c r="G58" s="13">
        <f t="shared" si="1"/>
        <v>-5.66622362911684E-3</v>
      </c>
    </row>
    <row r="59" spans="2:7" x14ac:dyDescent="0.35">
      <c r="B59" s="39">
        <v>44613</v>
      </c>
      <c r="C59" s="40">
        <v>4190.75</v>
      </c>
      <c r="D59" s="13">
        <f t="shared" si="0"/>
        <v>2.8884608570697523E-2</v>
      </c>
      <c r="F59" s="36">
        <v>16658.400390999999</v>
      </c>
      <c r="G59" s="13">
        <f t="shared" si="1"/>
        <v>-3.5765780987070617E-2</v>
      </c>
    </row>
    <row r="60" spans="2:7" x14ac:dyDescent="0.35">
      <c r="B60" s="39">
        <v>44620</v>
      </c>
      <c r="C60" s="40">
        <v>4110.2001950000003</v>
      </c>
      <c r="D60" s="13">
        <f t="shared" si="0"/>
        <v>-1.9220856648571205E-2</v>
      </c>
      <c r="F60" s="36">
        <v>16245.349609000001</v>
      </c>
      <c r="G60" s="13">
        <f t="shared" si="1"/>
        <v>-2.479534482933643E-2</v>
      </c>
    </row>
    <row r="61" spans="2:7" x14ac:dyDescent="0.35">
      <c r="B61" s="39">
        <v>44627</v>
      </c>
      <c r="C61" s="40">
        <v>4198.9501950000003</v>
      </c>
      <c r="D61" s="13">
        <f t="shared" si="0"/>
        <v>2.1592622205595546E-2</v>
      </c>
      <c r="F61" s="36">
        <v>16630.449218999998</v>
      </c>
      <c r="G61" s="13">
        <f t="shared" si="1"/>
        <v>2.3705221449137115E-2</v>
      </c>
    </row>
    <row r="62" spans="2:7" x14ac:dyDescent="0.35">
      <c r="B62" s="39">
        <v>44634</v>
      </c>
      <c r="C62" s="40">
        <v>4192.75</v>
      </c>
      <c r="D62" s="13">
        <f t="shared" si="0"/>
        <v>-1.476605987702162E-3</v>
      </c>
      <c r="F62" s="36">
        <v>17287.050781000002</v>
      </c>
      <c r="G62" s="13">
        <f t="shared" si="1"/>
        <v>3.9481889716475482E-2</v>
      </c>
    </row>
    <row r="63" spans="2:7" x14ac:dyDescent="0.35">
      <c r="B63" s="39">
        <v>44641</v>
      </c>
      <c r="C63" s="40">
        <v>4001.3000489999999</v>
      </c>
      <c r="D63" s="13">
        <f t="shared" si="0"/>
        <v>-4.5662143223421436E-2</v>
      </c>
      <c r="F63" s="36">
        <v>17153</v>
      </c>
      <c r="G63" s="13">
        <f t="shared" si="1"/>
        <v>-7.7544043051771538E-3</v>
      </c>
    </row>
    <row r="64" spans="2:7" x14ac:dyDescent="0.35">
      <c r="B64" s="39">
        <v>44648</v>
      </c>
      <c r="C64" s="40">
        <v>4082.1999510000001</v>
      </c>
      <c r="D64" s="13">
        <f t="shared" si="0"/>
        <v>2.0218404270936574E-2</v>
      </c>
      <c r="F64" s="36">
        <v>17670.449218999998</v>
      </c>
      <c r="G64" s="13">
        <f t="shared" si="1"/>
        <v>3.0166689150585846E-2</v>
      </c>
    </row>
    <row r="65" spans="2:7" x14ac:dyDescent="0.35">
      <c r="B65" s="39">
        <v>44655</v>
      </c>
      <c r="C65" s="40">
        <v>4146.25</v>
      </c>
      <c r="D65" s="13">
        <f t="shared" si="0"/>
        <v>1.5690081272062617E-2</v>
      </c>
      <c r="F65" s="36">
        <v>17784.349609000001</v>
      </c>
      <c r="G65" s="13">
        <f t="shared" si="1"/>
        <v>6.4458117950692007E-3</v>
      </c>
    </row>
    <row r="66" spans="2:7" x14ac:dyDescent="0.35">
      <c r="B66" s="39">
        <v>44662</v>
      </c>
      <c r="C66" s="40">
        <v>4090.8999020000001</v>
      </c>
      <c r="D66" s="13">
        <f t="shared" si="0"/>
        <v>-1.3349435755200423E-2</v>
      </c>
      <c r="F66" s="36">
        <v>17475.650390999999</v>
      </c>
      <c r="G66" s="13">
        <f t="shared" si="1"/>
        <v>-1.7357914390289553E-2</v>
      </c>
    </row>
    <row r="67" spans="2:7" x14ac:dyDescent="0.35">
      <c r="B67" s="39">
        <v>44669</v>
      </c>
      <c r="C67" s="40">
        <v>4028.8500979999999</v>
      </c>
      <c r="D67" s="13">
        <f t="shared" si="0"/>
        <v>-1.5167763936161038E-2</v>
      </c>
      <c r="F67" s="36">
        <v>17171.949218999998</v>
      </c>
      <c r="G67" s="13">
        <f t="shared" si="1"/>
        <v>-1.7378533285170805E-2</v>
      </c>
    </row>
    <row r="68" spans="2:7" x14ac:dyDescent="0.35">
      <c r="B68" s="39">
        <v>44676</v>
      </c>
      <c r="C68" s="40">
        <v>3944.25</v>
      </c>
      <c r="D68" s="13">
        <f t="shared" si="0"/>
        <v>-2.0998571786524645E-2</v>
      </c>
      <c r="F68" s="36">
        <v>17102.550781000002</v>
      </c>
      <c r="G68" s="13">
        <f t="shared" si="1"/>
        <v>-4.041383835634127E-3</v>
      </c>
    </row>
    <row r="69" spans="2:7" x14ac:dyDescent="0.35">
      <c r="B69" s="39">
        <v>44683</v>
      </c>
      <c r="C69" s="40">
        <v>3666.1999510000001</v>
      </c>
      <c r="D69" s="13">
        <f t="shared" si="0"/>
        <v>-7.0495036825758972E-2</v>
      </c>
      <c r="F69" s="36">
        <v>16411.25</v>
      </c>
      <c r="G69" s="13">
        <f t="shared" si="1"/>
        <v>-4.0420916730619982E-2</v>
      </c>
    </row>
    <row r="70" spans="2:7" x14ac:dyDescent="0.35">
      <c r="B70" s="39">
        <v>44690</v>
      </c>
      <c r="C70" s="40">
        <v>3230.6000979999999</v>
      </c>
      <c r="D70" s="13">
        <f t="shared" si="0"/>
        <v>-0.11881508341660008</v>
      </c>
      <c r="F70" s="36">
        <v>15782.150390999999</v>
      </c>
      <c r="G70" s="13">
        <f t="shared" si="1"/>
        <v>-3.8333436453652281E-2</v>
      </c>
    </row>
    <row r="71" spans="2:7" x14ac:dyDescent="0.35">
      <c r="B71" s="39">
        <v>44697</v>
      </c>
      <c r="C71" s="40">
        <v>3630.3999020000001</v>
      </c>
      <c r="D71" s="13">
        <f t="shared" si="0"/>
        <v>0.12375403698139809</v>
      </c>
      <c r="F71" s="36">
        <v>16266.150390999999</v>
      </c>
      <c r="G71" s="13">
        <f t="shared" si="1"/>
        <v>3.0667557209187901E-2</v>
      </c>
    </row>
    <row r="72" spans="2:7" x14ac:dyDescent="0.35">
      <c r="B72" s="39">
        <v>44704</v>
      </c>
      <c r="C72" s="40">
        <v>3613.8500979999999</v>
      </c>
      <c r="D72" s="13">
        <f t="shared" si="0"/>
        <v>-4.5586724456672112E-3</v>
      </c>
      <c r="F72" s="36">
        <v>16352.450194999999</v>
      </c>
      <c r="G72" s="13">
        <f t="shared" si="1"/>
        <v>5.3054842064996777E-3</v>
      </c>
    </row>
    <row r="73" spans="2:7" x14ac:dyDescent="0.35">
      <c r="B73" s="39">
        <v>44711</v>
      </c>
      <c r="C73" s="40">
        <v>3820.1000979999999</v>
      </c>
      <c r="D73" s="13">
        <f t="shared" ref="D73:D111" si="2">C73/C72-1</f>
        <v>5.7072096076742129E-2</v>
      </c>
      <c r="F73" s="36">
        <v>16584.300781000002</v>
      </c>
      <c r="G73" s="13">
        <f t="shared" ref="G73:G111" si="3">F73/F72-1</f>
        <v>1.4178339223494207E-2</v>
      </c>
    </row>
    <row r="74" spans="2:7" x14ac:dyDescent="0.35">
      <c r="B74" s="39">
        <v>44718</v>
      </c>
      <c r="C74" s="40">
        <v>3755.6499020000001</v>
      </c>
      <c r="D74" s="13">
        <f t="shared" si="2"/>
        <v>-1.6871336966730932E-2</v>
      </c>
      <c r="F74" s="36">
        <v>16201.799805000001</v>
      </c>
      <c r="G74" s="13">
        <f t="shared" si="3"/>
        <v>-2.3064039964724836E-2</v>
      </c>
    </row>
    <row r="75" spans="2:7" x14ac:dyDescent="0.35">
      <c r="B75" s="39">
        <v>44725</v>
      </c>
      <c r="C75" s="40">
        <v>3460.5500489999999</v>
      </c>
      <c r="D75" s="13">
        <f t="shared" si="2"/>
        <v>-7.857490998904082E-2</v>
      </c>
      <c r="F75" s="36">
        <v>15293.5</v>
      </c>
      <c r="G75" s="13">
        <f t="shared" si="3"/>
        <v>-5.606166079892505E-2</v>
      </c>
    </row>
    <row r="76" spans="2:7" x14ac:dyDescent="0.35">
      <c r="B76" s="39">
        <v>44732</v>
      </c>
      <c r="C76" s="40">
        <v>3412</v>
      </c>
      <c r="D76" s="13">
        <f t="shared" si="2"/>
        <v>-1.4029575735808097E-2</v>
      </c>
      <c r="F76" s="36">
        <v>15699.25</v>
      </c>
      <c r="G76" s="13">
        <f t="shared" si="3"/>
        <v>2.6530879131657192E-2</v>
      </c>
    </row>
    <row r="77" spans="2:7" x14ac:dyDescent="0.35">
      <c r="B77" s="39">
        <v>44739</v>
      </c>
      <c r="C77" s="40">
        <v>3388.75</v>
      </c>
      <c r="D77" s="13">
        <f t="shared" si="2"/>
        <v>-6.8141852286048854E-3</v>
      </c>
      <c r="F77" s="36">
        <v>15752.049805000001</v>
      </c>
      <c r="G77" s="13">
        <f t="shared" si="3"/>
        <v>3.3632055671448668E-3</v>
      </c>
    </row>
    <row r="78" spans="2:7" x14ac:dyDescent="0.35">
      <c r="B78" s="39">
        <v>44746</v>
      </c>
      <c r="C78" s="40">
        <v>3941.6999510000001</v>
      </c>
      <c r="D78" s="13">
        <f t="shared" si="2"/>
        <v>0.16317224669863517</v>
      </c>
      <c r="F78" s="36">
        <v>16220.599609000001</v>
      </c>
      <c r="G78" s="13">
        <f t="shared" si="3"/>
        <v>2.9745322659611828E-2</v>
      </c>
    </row>
    <row r="79" spans="2:7" x14ac:dyDescent="0.35">
      <c r="B79" s="39">
        <v>44753</v>
      </c>
      <c r="C79" s="40">
        <v>3926.8000489999999</v>
      </c>
      <c r="D79" s="13">
        <f t="shared" si="2"/>
        <v>-3.7800700675403309E-3</v>
      </c>
      <c r="F79" s="36">
        <v>16049.200194999999</v>
      </c>
      <c r="G79" s="13">
        <f t="shared" si="3"/>
        <v>-1.0566774233481513E-2</v>
      </c>
    </row>
    <row r="80" spans="2:7" x14ac:dyDescent="0.35">
      <c r="B80" s="39">
        <v>44760</v>
      </c>
      <c r="C80" s="40">
        <v>3963.3999020000001</v>
      </c>
      <c r="D80" s="13">
        <f t="shared" si="2"/>
        <v>9.3205288131033015E-3</v>
      </c>
      <c r="F80" s="36">
        <v>16719.449218999998</v>
      </c>
      <c r="G80" s="13">
        <f t="shared" si="3"/>
        <v>4.1762144895470144E-2</v>
      </c>
    </row>
    <row r="81" spans="2:7" x14ac:dyDescent="0.35">
      <c r="B81" s="39">
        <v>44767</v>
      </c>
      <c r="C81" s="40">
        <v>4243.8500979999999</v>
      </c>
      <c r="D81" s="13">
        <f t="shared" si="2"/>
        <v>7.0760004777332686E-2</v>
      </c>
      <c r="F81" s="36">
        <v>17158.25</v>
      </c>
      <c r="G81" s="13">
        <f t="shared" si="3"/>
        <v>2.6244930395275645E-2</v>
      </c>
    </row>
    <row r="82" spans="2:7" x14ac:dyDescent="0.35">
      <c r="B82" s="39">
        <v>44774</v>
      </c>
      <c r="C82" s="40">
        <v>4232.25</v>
      </c>
      <c r="D82" s="13">
        <f t="shared" si="2"/>
        <v>-2.7333901368162827E-3</v>
      </c>
      <c r="F82" s="36">
        <v>17397.5</v>
      </c>
      <c r="G82" s="13">
        <f t="shared" si="3"/>
        <v>1.3943729692713402E-2</v>
      </c>
    </row>
    <row r="83" spans="2:7" x14ac:dyDescent="0.35">
      <c r="B83" s="39">
        <v>44781</v>
      </c>
      <c r="C83" s="40">
        <v>4336.7001950000003</v>
      </c>
      <c r="D83" s="13">
        <f t="shared" si="2"/>
        <v>2.4679590052572697E-2</v>
      </c>
      <c r="F83" s="36">
        <v>17698.150390999999</v>
      </c>
      <c r="G83" s="13">
        <f t="shared" si="3"/>
        <v>1.7281241040379314E-2</v>
      </c>
    </row>
    <row r="84" spans="2:7" x14ac:dyDescent="0.35">
      <c r="B84" s="39">
        <v>44788</v>
      </c>
      <c r="C84" s="40">
        <v>4382</v>
      </c>
      <c r="D84" s="13">
        <f t="shared" si="2"/>
        <v>1.0445685189911957E-2</v>
      </c>
      <c r="F84" s="36">
        <v>17758.449218999998</v>
      </c>
      <c r="G84" s="13">
        <f t="shared" si="3"/>
        <v>3.4070694771959342E-3</v>
      </c>
    </row>
    <row r="85" spans="2:7" x14ac:dyDescent="0.35">
      <c r="B85" s="39">
        <v>44795</v>
      </c>
      <c r="C85" s="40">
        <v>4409.6499020000001</v>
      </c>
      <c r="D85" s="13">
        <f t="shared" si="2"/>
        <v>6.3098817891373837E-3</v>
      </c>
      <c r="F85" s="36">
        <v>17558.900390999999</v>
      </c>
      <c r="G85" s="13">
        <f t="shared" si="3"/>
        <v>-1.1236838619134604E-2</v>
      </c>
    </row>
    <row r="86" spans="2:7" x14ac:dyDescent="0.35">
      <c r="B86" s="39">
        <v>44802</v>
      </c>
      <c r="C86" s="40">
        <v>4576.7998049999997</v>
      </c>
      <c r="D86" s="13">
        <f t="shared" si="2"/>
        <v>3.7905481549496356E-2</v>
      </c>
      <c r="F86" s="36">
        <v>17539.449218999998</v>
      </c>
      <c r="G86" s="13">
        <f t="shared" si="3"/>
        <v>-1.1077670905844661E-3</v>
      </c>
    </row>
    <row r="87" spans="2:7" x14ac:dyDescent="0.35">
      <c r="B87" s="39">
        <v>44809</v>
      </c>
      <c r="C87" s="40">
        <v>4386.1000979999999</v>
      </c>
      <c r="D87" s="13">
        <f t="shared" si="2"/>
        <v>-4.1666604423393538E-2</v>
      </c>
      <c r="F87" s="36">
        <v>17833.349609000001</v>
      </c>
      <c r="G87" s="13">
        <f t="shared" si="3"/>
        <v>1.6756534730955508E-2</v>
      </c>
    </row>
    <row r="88" spans="2:7" x14ac:dyDescent="0.35">
      <c r="B88" s="39">
        <v>44816</v>
      </c>
      <c r="C88" s="40">
        <v>4327.5498049999997</v>
      </c>
      <c r="D88" s="13">
        <f t="shared" si="2"/>
        <v>-1.334905535482378E-2</v>
      </c>
      <c r="F88" s="36">
        <v>17530.849609000001</v>
      </c>
      <c r="G88" s="13">
        <f t="shared" si="3"/>
        <v>-1.6962601341440453E-2</v>
      </c>
    </row>
    <row r="89" spans="2:7" x14ac:dyDescent="0.35">
      <c r="B89" s="39">
        <v>44823</v>
      </c>
      <c r="C89" s="40">
        <v>4367</v>
      </c>
      <c r="D89" s="13">
        <f t="shared" si="2"/>
        <v>9.1160579953164511E-3</v>
      </c>
      <c r="F89" s="36">
        <v>17327.349609000001</v>
      </c>
      <c r="G89" s="13">
        <f t="shared" si="3"/>
        <v>-1.1608108251383698E-2</v>
      </c>
    </row>
    <row r="90" spans="2:7" x14ac:dyDescent="0.35">
      <c r="B90" s="39">
        <v>44830</v>
      </c>
      <c r="C90" s="40">
        <v>4386.5498049999997</v>
      </c>
      <c r="D90" s="13">
        <f t="shared" si="2"/>
        <v>4.4767128463474304E-3</v>
      </c>
      <c r="F90" s="36">
        <v>17094.349609000001</v>
      </c>
      <c r="G90" s="13">
        <f t="shared" si="3"/>
        <v>-1.3446949779265527E-2</v>
      </c>
    </row>
    <row r="91" spans="2:7" x14ac:dyDescent="0.35">
      <c r="B91" s="39">
        <v>44837</v>
      </c>
      <c r="C91" s="40">
        <v>4471.4501950000003</v>
      </c>
      <c r="D91" s="13">
        <f t="shared" si="2"/>
        <v>1.9354707862481613E-2</v>
      </c>
      <c r="F91" s="36">
        <v>17314.650390999999</v>
      </c>
      <c r="G91" s="13">
        <f t="shared" si="3"/>
        <v>1.2887345060733635E-2</v>
      </c>
    </row>
    <row r="92" spans="2:7" x14ac:dyDescent="0.35">
      <c r="B92" s="39">
        <v>44844</v>
      </c>
      <c r="C92" s="40">
        <v>4306.1499020000001</v>
      </c>
      <c r="D92" s="13">
        <f t="shared" si="2"/>
        <v>-3.6967937870545864E-2</v>
      </c>
      <c r="F92" s="36">
        <v>17185.699218999998</v>
      </c>
      <c r="G92" s="13">
        <f t="shared" si="3"/>
        <v>-7.4475180894804094E-3</v>
      </c>
    </row>
    <row r="93" spans="2:7" x14ac:dyDescent="0.35">
      <c r="B93" s="39">
        <v>44851</v>
      </c>
      <c r="C93" s="40">
        <v>4215.5498049999997</v>
      </c>
      <c r="D93" s="13">
        <f t="shared" si="2"/>
        <v>-2.1039698817247654E-2</v>
      </c>
      <c r="F93" s="36">
        <v>17576.300781000002</v>
      </c>
      <c r="G93" s="13">
        <f t="shared" si="3"/>
        <v>2.2728290366455628E-2</v>
      </c>
    </row>
    <row r="94" spans="2:7" x14ac:dyDescent="0.35">
      <c r="B94" s="39">
        <v>44858</v>
      </c>
      <c r="C94" s="40">
        <v>4307.3500979999999</v>
      </c>
      <c r="D94" s="13">
        <f t="shared" si="2"/>
        <v>2.1776588403988884E-2</v>
      </c>
      <c r="F94" s="36">
        <v>17786.800781000002</v>
      </c>
      <c r="G94" s="13">
        <f t="shared" si="3"/>
        <v>1.197635399068453E-2</v>
      </c>
    </row>
    <row r="95" spans="2:7" x14ac:dyDescent="0.35">
      <c r="B95" s="39">
        <v>44865</v>
      </c>
      <c r="C95" s="40">
        <v>4167.3500979999999</v>
      </c>
      <c r="D95" s="13">
        <f t="shared" si="2"/>
        <v>-3.2502582055033091E-2</v>
      </c>
      <c r="F95" s="36">
        <v>18117.150390999999</v>
      </c>
      <c r="G95" s="13">
        <f t="shared" si="3"/>
        <v>1.8572739081492262E-2</v>
      </c>
    </row>
    <row r="96" spans="2:7" x14ac:dyDescent="0.35">
      <c r="B96" s="39">
        <v>44872</v>
      </c>
      <c r="C96" s="40">
        <v>4128.3500979999999</v>
      </c>
      <c r="D96" s="13">
        <f t="shared" si="2"/>
        <v>-9.3584649916302887E-3</v>
      </c>
      <c r="F96" s="36">
        <v>18349.699218999998</v>
      </c>
      <c r="G96" s="13">
        <f t="shared" si="3"/>
        <v>1.2835839134808014E-2</v>
      </c>
    </row>
    <row r="97" spans="2:7" x14ac:dyDescent="0.35">
      <c r="B97" s="39">
        <v>44879</v>
      </c>
      <c r="C97" s="40">
        <v>3910.6000979999999</v>
      </c>
      <c r="D97" s="13">
        <f t="shared" si="2"/>
        <v>-5.2745042167206213E-2</v>
      </c>
      <c r="F97" s="36">
        <v>18307.650390999999</v>
      </c>
      <c r="G97" s="13">
        <f t="shared" si="3"/>
        <v>-2.2915268254892762E-3</v>
      </c>
    </row>
    <row r="98" spans="2:7" x14ac:dyDescent="0.35">
      <c r="B98" s="39">
        <v>44886</v>
      </c>
      <c r="C98" s="40">
        <v>3904.4499510000001</v>
      </c>
      <c r="D98" s="13">
        <f t="shared" si="2"/>
        <v>-1.5726862491373117E-3</v>
      </c>
      <c r="F98" s="36">
        <v>18512.75</v>
      </c>
      <c r="G98" s="13">
        <f t="shared" si="3"/>
        <v>1.1202945469224623E-2</v>
      </c>
    </row>
    <row r="99" spans="2:7" x14ac:dyDescent="0.35">
      <c r="B99" s="39">
        <v>44893</v>
      </c>
      <c r="C99" s="40">
        <v>4005.75</v>
      </c>
      <c r="D99" s="13">
        <f t="shared" si="2"/>
        <v>2.5944768218646219E-2</v>
      </c>
      <c r="F99" s="36">
        <v>18696.099609000001</v>
      </c>
      <c r="G99" s="13">
        <f t="shared" si="3"/>
        <v>9.9039639707769744E-3</v>
      </c>
    </row>
    <row r="100" spans="2:7" x14ac:dyDescent="0.35">
      <c r="B100" s="39">
        <v>44900</v>
      </c>
      <c r="C100" s="40">
        <v>4002.3999020000001</v>
      </c>
      <c r="D100" s="13">
        <f t="shared" si="2"/>
        <v>-8.3632228671282061E-4</v>
      </c>
      <c r="F100" s="36">
        <v>18496.599609000001</v>
      </c>
      <c r="G100" s="13">
        <f t="shared" si="3"/>
        <v>-1.0670674855838058E-2</v>
      </c>
    </row>
    <row r="101" spans="2:7" x14ac:dyDescent="0.35">
      <c r="B101" s="39">
        <v>44907</v>
      </c>
      <c r="C101" s="40">
        <v>3990</v>
      </c>
      <c r="D101" s="13">
        <f t="shared" si="2"/>
        <v>-3.0981167058803383E-3</v>
      </c>
      <c r="F101" s="36">
        <v>18269</v>
      </c>
      <c r="G101" s="13">
        <f t="shared" si="3"/>
        <v>-1.2304943276668867E-2</v>
      </c>
    </row>
    <row r="102" spans="2:7" x14ac:dyDescent="0.35">
      <c r="B102" s="39">
        <v>44914</v>
      </c>
      <c r="C102" s="40">
        <v>3875.6000979999999</v>
      </c>
      <c r="D102" s="13">
        <f t="shared" si="2"/>
        <v>-2.8671654636591493E-2</v>
      </c>
      <c r="F102" s="36">
        <v>17806.800781000002</v>
      </c>
      <c r="G102" s="13">
        <f t="shared" si="3"/>
        <v>-2.529964524604511E-2</v>
      </c>
    </row>
    <row r="103" spans="2:7" x14ac:dyDescent="0.35">
      <c r="B103" s="39">
        <v>44921</v>
      </c>
      <c r="C103" s="40">
        <v>4068.75</v>
      </c>
      <c r="D103" s="13">
        <f t="shared" si="2"/>
        <v>4.9837417978102261E-2</v>
      </c>
      <c r="F103" s="36">
        <v>18105.300781000002</v>
      </c>
      <c r="G103" s="13">
        <f t="shared" si="3"/>
        <v>1.6763258244484991E-2</v>
      </c>
    </row>
    <row r="104" spans="2:7" x14ac:dyDescent="0.35">
      <c r="B104" s="39">
        <v>44928</v>
      </c>
      <c r="C104" s="40">
        <v>3842.5</v>
      </c>
      <c r="D104" s="13">
        <f t="shared" si="2"/>
        <v>-5.5606758832565273E-2</v>
      </c>
      <c r="F104" s="36">
        <v>17859.449218999998</v>
      </c>
      <c r="G104" s="13">
        <f t="shared" si="3"/>
        <v>-1.3578982474458767E-2</v>
      </c>
    </row>
    <row r="105" spans="2:7" x14ac:dyDescent="0.35">
      <c r="B105" s="39">
        <v>44935</v>
      </c>
      <c r="C105" s="40">
        <v>3863.6999510000001</v>
      </c>
      <c r="D105" s="13">
        <f t="shared" si="2"/>
        <v>5.517228627195836E-3</v>
      </c>
      <c r="F105" s="36">
        <v>17956.599609000001</v>
      </c>
      <c r="G105" s="13">
        <f t="shared" si="3"/>
        <v>5.4397192661825855E-3</v>
      </c>
    </row>
    <row r="106" spans="2:7" x14ac:dyDescent="0.35">
      <c r="B106" s="39">
        <v>44942</v>
      </c>
      <c r="C106" s="40">
        <v>3513.75</v>
      </c>
      <c r="D106" s="13">
        <f t="shared" si="2"/>
        <v>-9.0573790780370089E-2</v>
      </c>
      <c r="F106" s="36">
        <v>18027.650390999999</v>
      </c>
      <c r="G106" s="13">
        <f t="shared" si="3"/>
        <v>3.9568060516528281E-3</v>
      </c>
    </row>
    <row r="107" spans="2:7" x14ac:dyDescent="0.35">
      <c r="B107" s="39">
        <v>44949</v>
      </c>
      <c r="C107" s="40">
        <v>3562.3500979999999</v>
      </c>
      <c r="D107" s="13">
        <f t="shared" si="2"/>
        <v>1.3831404624688792E-2</v>
      </c>
      <c r="F107" s="36">
        <v>17604.349609000001</v>
      </c>
      <c r="G107" s="13">
        <f t="shared" si="3"/>
        <v>-2.3480640727941093E-2</v>
      </c>
    </row>
    <row r="108" spans="2:7" x14ac:dyDescent="0.35">
      <c r="B108" s="39">
        <v>44956</v>
      </c>
      <c r="C108" s="40">
        <v>3470.3500979999999</v>
      </c>
      <c r="D108" s="13">
        <f t="shared" si="2"/>
        <v>-2.5825648088785957E-2</v>
      </c>
      <c r="F108" s="36">
        <v>17854.050781000002</v>
      </c>
      <c r="G108" s="13">
        <f t="shared" si="3"/>
        <v>1.4184061186352848E-2</v>
      </c>
    </row>
    <row r="109" spans="2:7" x14ac:dyDescent="0.35">
      <c r="B109" s="39">
        <v>44963</v>
      </c>
      <c r="C109" s="40">
        <v>3498.8500979999999</v>
      </c>
      <c r="D109" s="13">
        <f t="shared" si="2"/>
        <v>8.2124279093411801E-3</v>
      </c>
      <c r="F109" s="36">
        <v>17856.5</v>
      </c>
      <c r="G109" s="13">
        <f t="shared" si="3"/>
        <v>1.371800175793414E-4</v>
      </c>
    </row>
    <row r="110" spans="2:7" x14ac:dyDescent="0.35">
      <c r="B110" s="39">
        <v>44970</v>
      </c>
      <c r="C110" s="40">
        <v>3545</v>
      </c>
      <c r="D110" s="13">
        <f t="shared" si="2"/>
        <v>1.3190019780035867E-2</v>
      </c>
      <c r="F110" s="36">
        <v>17944.199218999998</v>
      </c>
      <c r="G110" s="13">
        <f t="shared" si="3"/>
        <v>4.9113330719905424E-3</v>
      </c>
    </row>
    <row r="111" spans="2:7" x14ac:dyDescent="0.35">
      <c r="B111" s="39">
        <v>44977</v>
      </c>
      <c r="C111" s="40">
        <v>3552.8500979999999</v>
      </c>
      <c r="D111" s="13">
        <f t="shared" si="2"/>
        <v>2.2144141043722865E-3</v>
      </c>
      <c r="F111" s="36">
        <v>17844.599609000001</v>
      </c>
      <c r="G111" s="13">
        <f t="shared" si="3"/>
        <v>-5.550518514893521E-3</v>
      </c>
    </row>
  </sheetData>
  <mergeCells count="3">
    <mergeCell ref="B4:D4"/>
    <mergeCell ref="F4:G4"/>
    <mergeCell ref="I4:J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1D-EA6A-4D88-9BB4-8F4EE9A886E0}">
  <dimension ref="B2:G7"/>
  <sheetViews>
    <sheetView showGridLines="0" workbookViewId="0">
      <selection activeCell="C2" sqref="C2"/>
    </sheetView>
  </sheetViews>
  <sheetFormatPr defaultRowHeight="14.5" x14ac:dyDescent="0.35"/>
  <cols>
    <col min="1" max="1" width="1.81640625" customWidth="1"/>
    <col min="3" max="3" width="16.1796875" bestFit="1" customWidth="1"/>
    <col min="4" max="4" width="8.26953125" bestFit="1" customWidth="1"/>
    <col min="5" max="5" width="14.453125" bestFit="1" customWidth="1"/>
    <col min="6" max="6" width="10.7265625" bestFit="1" customWidth="1"/>
    <col min="18" max="18" width="16.1796875" bestFit="1" customWidth="1"/>
    <col min="19" max="19" width="8.26953125" bestFit="1" customWidth="1"/>
    <col min="20" max="20" width="14.453125" bestFit="1" customWidth="1"/>
  </cols>
  <sheetData>
    <row r="2" spans="2:7" x14ac:dyDescent="0.35">
      <c r="B2" t="s">
        <v>40</v>
      </c>
      <c r="C2" t="s">
        <v>2</v>
      </c>
      <c r="D2" t="s">
        <v>41</v>
      </c>
      <c r="E2" t="s">
        <v>43</v>
      </c>
      <c r="F2" t="s">
        <v>42</v>
      </c>
      <c r="G2" t="s">
        <v>44</v>
      </c>
    </row>
    <row r="3" spans="2:7" x14ac:dyDescent="0.35">
      <c r="B3">
        <v>1</v>
      </c>
      <c r="C3" t="s">
        <v>94</v>
      </c>
      <c r="D3">
        <v>3525.6</v>
      </c>
      <c r="E3">
        <v>228379.45</v>
      </c>
      <c r="F3">
        <v>710.83</v>
      </c>
      <c r="G3">
        <v>0.05</v>
      </c>
    </row>
    <row r="4" spans="2:7" x14ac:dyDescent="0.35">
      <c r="B4">
        <v>2</v>
      </c>
      <c r="C4" t="s">
        <v>95</v>
      </c>
      <c r="D4">
        <v>1338.1</v>
      </c>
      <c r="E4">
        <v>47567.78</v>
      </c>
      <c r="F4">
        <v>4525.96</v>
      </c>
      <c r="G4">
        <v>1.9</v>
      </c>
    </row>
    <row r="5" spans="2:7" x14ac:dyDescent="0.35">
      <c r="B5">
        <v>3</v>
      </c>
      <c r="C5" t="s">
        <v>96</v>
      </c>
      <c r="D5">
        <v>1168.9000000000001</v>
      </c>
      <c r="E5">
        <v>28378.34</v>
      </c>
      <c r="F5">
        <v>248.92</v>
      </c>
      <c r="G5">
        <v>0.22</v>
      </c>
    </row>
    <row r="6" spans="2:7" x14ac:dyDescent="0.35">
      <c r="B6">
        <v>4</v>
      </c>
      <c r="C6" t="s">
        <v>97</v>
      </c>
      <c r="D6">
        <v>246.6</v>
      </c>
      <c r="E6">
        <v>23395.42</v>
      </c>
      <c r="F6">
        <v>4617.57</v>
      </c>
      <c r="G6">
        <v>1.28</v>
      </c>
    </row>
    <row r="7" spans="2:7" x14ac:dyDescent="0.35">
      <c r="B7">
        <v>5</v>
      </c>
      <c r="C7" t="s">
        <v>98</v>
      </c>
      <c r="D7">
        <v>849.25</v>
      </c>
      <c r="E7">
        <v>23076.59</v>
      </c>
      <c r="F7">
        <v>805.48</v>
      </c>
      <c r="G7">
        <v>0.56000000000000005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4559-1980-4DE8-B7BA-36E443FC802F}">
  <dimension ref="B2:G28"/>
  <sheetViews>
    <sheetView showGridLines="0" workbookViewId="0">
      <selection activeCell="D2" sqref="D2"/>
    </sheetView>
  </sheetViews>
  <sheetFormatPr defaultRowHeight="14.5" x14ac:dyDescent="0.35"/>
  <cols>
    <col min="1" max="1" width="1.81640625" customWidth="1"/>
  </cols>
  <sheetData>
    <row r="2" spans="2:7" x14ac:dyDescent="0.35">
      <c r="B2" s="52" t="s">
        <v>86</v>
      </c>
      <c r="C2" s="53"/>
      <c r="D2" s="53"/>
      <c r="E2" s="53"/>
      <c r="F2" s="53"/>
      <c r="G2" s="53"/>
    </row>
    <row r="4" spans="2:7" x14ac:dyDescent="0.35">
      <c r="B4" s="41" t="s">
        <v>84</v>
      </c>
      <c r="C4" s="42" t="s">
        <v>85</v>
      </c>
    </row>
    <row r="5" spans="2:7" x14ac:dyDescent="0.35">
      <c r="B5" s="38">
        <v>2000</v>
      </c>
      <c r="C5" s="51">
        <v>-0.14649999999999999</v>
      </c>
      <c r="E5" t="s">
        <v>87</v>
      </c>
      <c r="G5" s="15">
        <f>AVERAGE(C5:C27)</f>
        <v>0.15411739130434784</v>
      </c>
    </row>
    <row r="6" spans="2:7" ht="16.5" x14ac:dyDescent="0.35">
      <c r="B6" s="38">
        <v>2001</v>
      </c>
      <c r="C6" s="51">
        <v>-0.1618</v>
      </c>
      <c r="E6" t="s">
        <v>88</v>
      </c>
      <c r="G6" s="54" t="s">
        <v>89</v>
      </c>
    </row>
    <row r="7" spans="2:7" x14ac:dyDescent="0.35">
      <c r="B7" s="38">
        <v>2002</v>
      </c>
      <c r="C7" s="51">
        <v>3.2500000000000001E-2</v>
      </c>
      <c r="E7" s="55" t="s">
        <v>90</v>
      </c>
      <c r="F7" s="55"/>
      <c r="G7" s="56">
        <f>SUM(G5:G6)</f>
        <v>0.15411739130434784</v>
      </c>
    </row>
    <row r="8" spans="2:7" x14ac:dyDescent="0.35">
      <c r="B8" s="38">
        <v>2003</v>
      </c>
      <c r="C8" s="51">
        <v>0.71900000000000008</v>
      </c>
    </row>
    <row r="9" spans="2:7" x14ac:dyDescent="0.35">
      <c r="B9" s="38">
        <v>2004</v>
      </c>
      <c r="C9" s="51">
        <v>0.10679999999999999</v>
      </c>
    </row>
    <row r="10" spans="2:7" x14ac:dyDescent="0.35">
      <c r="B10" s="38">
        <v>2005</v>
      </c>
      <c r="C10" s="51">
        <v>0.36340000000000006</v>
      </c>
    </row>
    <row r="11" spans="2:7" x14ac:dyDescent="0.35">
      <c r="B11" s="38">
        <v>2006</v>
      </c>
      <c r="C11" s="51">
        <v>0.39829999999999999</v>
      </c>
    </row>
    <row r="12" spans="2:7" x14ac:dyDescent="0.35">
      <c r="B12" s="38">
        <v>2007</v>
      </c>
      <c r="C12" s="51">
        <v>0.54770000000000008</v>
      </c>
    </row>
    <row r="13" spans="2:7" x14ac:dyDescent="0.35">
      <c r="B13" s="38">
        <v>2008</v>
      </c>
      <c r="C13" s="51">
        <v>-0.51790000000000003</v>
      </c>
    </row>
    <row r="14" spans="2:7" x14ac:dyDescent="0.35">
      <c r="B14" s="38">
        <v>2009</v>
      </c>
      <c r="C14" s="51">
        <v>0.75760000000000005</v>
      </c>
    </row>
    <row r="15" spans="2:7" x14ac:dyDescent="0.35">
      <c r="B15" s="38">
        <v>2010</v>
      </c>
      <c r="C15" s="51">
        <v>0.17949999999999999</v>
      </c>
    </row>
    <row r="16" spans="2:7" x14ac:dyDescent="0.35">
      <c r="B16" s="38">
        <v>2011</v>
      </c>
      <c r="C16" s="51">
        <v>-0.2462</v>
      </c>
    </row>
    <row r="17" spans="2:3" x14ac:dyDescent="0.35">
      <c r="B17" s="38">
        <v>2012</v>
      </c>
      <c r="C17" s="51">
        <v>0.27699999999999997</v>
      </c>
    </row>
    <row r="18" spans="2:3" x14ac:dyDescent="0.35">
      <c r="B18" s="38">
        <v>2013</v>
      </c>
      <c r="C18" s="51">
        <v>6.7599999999999993E-2</v>
      </c>
    </row>
    <row r="19" spans="2:3" x14ac:dyDescent="0.35">
      <c r="B19" s="38">
        <v>2014</v>
      </c>
      <c r="C19" s="51">
        <v>0.31390000000000001</v>
      </c>
    </row>
    <row r="20" spans="2:3" x14ac:dyDescent="0.35">
      <c r="B20" s="38">
        <v>2015</v>
      </c>
      <c r="C20" s="51">
        <v>-4.0599999999999997E-2</v>
      </c>
    </row>
    <row r="21" spans="2:3" x14ac:dyDescent="0.35">
      <c r="B21" s="38">
        <v>2016</v>
      </c>
      <c r="C21" s="51">
        <v>3.0099999999999998E-2</v>
      </c>
    </row>
    <row r="22" spans="2:3" x14ac:dyDescent="0.35">
      <c r="B22" s="38">
        <v>2017</v>
      </c>
      <c r="C22" s="51">
        <v>0.28649999999999998</v>
      </c>
    </row>
    <row r="23" spans="2:3" x14ac:dyDescent="0.35">
      <c r="B23" s="38">
        <v>2018</v>
      </c>
      <c r="C23" s="51">
        <v>3.15E-2</v>
      </c>
    </row>
    <row r="24" spans="2:3" x14ac:dyDescent="0.35">
      <c r="B24" s="38">
        <v>2019</v>
      </c>
      <c r="C24" s="51">
        <v>0.1202</v>
      </c>
    </row>
    <row r="25" spans="2:3" x14ac:dyDescent="0.35">
      <c r="B25" s="38">
        <v>2020</v>
      </c>
      <c r="C25" s="51">
        <v>0.14169999999999999</v>
      </c>
    </row>
    <row r="26" spans="2:3" x14ac:dyDescent="0.35">
      <c r="B26" s="38">
        <v>2021</v>
      </c>
      <c r="C26" s="51">
        <v>0.2412</v>
      </c>
    </row>
    <row r="27" spans="2:3" x14ac:dyDescent="0.35">
      <c r="B27" s="38">
        <v>2022</v>
      </c>
      <c r="C27" s="51">
        <v>4.3200000000000002E-2</v>
      </c>
    </row>
    <row r="28" spans="2:3" x14ac:dyDescent="0.35">
      <c r="B28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DCF&gt;</vt:lpstr>
      <vt:lpstr>WACC</vt:lpstr>
      <vt:lpstr>Beta - Regression</vt:lpstr>
      <vt:lpstr>Beta - Comps</vt:lpstr>
      <vt:lpstr>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Yahya Qureshi</cp:lastModifiedBy>
  <cp:lastPrinted>2023-02-21T19:04:51Z</cp:lastPrinted>
  <dcterms:created xsi:type="dcterms:W3CDTF">2023-02-06T14:53:36Z</dcterms:created>
  <dcterms:modified xsi:type="dcterms:W3CDTF">2026-03-18T11:17:19Z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